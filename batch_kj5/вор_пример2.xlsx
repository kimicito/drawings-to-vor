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TR\ДС\ГЭП\Заявка на закупку\Плиты 0,000 КЖ6 КЭ А, Б\Вар.4\"/>
    </mc:Choice>
  </mc:AlternateContent>
  <bookViews>
    <workbookView xWindow="0" yWindow="0" windowWidth="28800" windowHeight="12300"/>
  </bookViews>
  <sheets>
    <sheet name="449.02623.120201.1.6-КЖ6" sheetId="1" r:id="rId1"/>
  </sheets>
  <definedNames>
    <definedName name="_xlnm.Print_Titles" localSheetId="0">'449.02623.120201.1.6-КЖ6'!$15:$15</definedName>
    <definedName name="_xlnm.Print_Area" localSheetId="0">'449.02623.120201.1.6-КЖ6'!$A$3:$E$81</definedName>
  </definedNames>
  <calcPr calcId="162913" iterateCount="1"/>
</workbook>
</file>

<file path=xl/calcChain.xml><?xml version="1.0" encoding="utf-8"?>
<calcChain xmlns="http://schemas.openxmlformats.org/spreadsheetml/2006/main">
  <c r="D55" i="1" l="1"/>
  <c r="D51" i="1"/>
  <c r="D52" i="1" s="1"/>
  <c r="D53" i="1" l="1"/>
  <c r="D39" i="1"/>
  <c r="D73" i="1"/>
  <c r="D68" i="1"/>
  <c r="D65" i="1"/>
</calcChain>
</file>

<file path=xl/sharedStrings.xml><?xml version="1.0" encoding="utf-8"?>
<sst xmlns="http://schemas.openxmlformats.org/spreadsheetml/2006/main" count="162" uniqueCount="63">
  <si>
    <t>№ п/п</t>
  </si>
  <si>
    <t>Наименование</t>
  </si>
  <si>
    <t>Ед. изм.</t>
  </si>
  <si>
    <t xml:space="preserve">УТВЕРЖДАЮ: 
Директор департамента по строительству
ОП ООО «ОК РУСАЛ ПРОМТЕХРАЗВИТИЕ» </t>
  </si>
  <si>
    <t>____________________О.В. Туз</t>
  </si>
  <si>
    <t>Кол-во</t>
  </si>
  <si>
    <t>Примечание</t>
  </si>
  <si>
    <t xml:space="preserve">Проект: «Красноярский  алюминиевый завод. Экологическая реконструкция». </t>
  </si>
  <si>
    <t>Приложение № 3 к Техническому заданию</t>
  </si>
  <si>
    <t xml:space="preserve">    подпись                                                        (Ф.И.О.)</t>
  </si>
  <si>
    <t xml:space="preserve">           подпись                                           (Ф.И.О.)</t>
  </si>
  <si>
    <t>Составил: Менеджер по направлению                                                                 Неворотов Д.А.</t>
  </si>
  <si>
    <t xml:space="preserve">Проверил: Руководитель по направлению                                                            Москалев М.В.        </t>
  </si>
  <si>
    <t>м3</t>
  </si>
  <si>
    <t>Смеси бетонные тяжелого бетона (БСТ), класс В25,W6,F150</t>
  </si>
  <si>
    <t>м2</t>
  </si>
  <si>
    <t>Сталь арматурная А500С, ГОСТ 34028-2016, диаметр 12 мм</t>
  </si>
  <si>
    <t>Укладка пленки полиэтиленовой</t>
  </si>
  <si>
    <t>Пленка полиэтиленовая 200 мкм</t>
  </si>
  <si>
    <t>П1</t>
  </si>
  <si>
    <t>Устройство деформационного шва</t>
  </si>
  <si>
    <t>м</t>
  </si>
  <si>
    <t>Пенополистирол ППС15</t>
  </si>
  <si>
    <t>Полиуретановый герметик</t>
  </si>
  <si>
    <t>кг</t>
  </si>
  <si>
    <t>деформационный шов</t>
  </si>
  <si>
    <t>Уплотнитель Вилатерм (или аналог)</t>
  </si>
  <si>
    <t>Пм1</t>
  </si>
  <si>
    <t>Укладка пенополистирола</t>
  </si>
  <si>
    <t>Устройство бетонной плиты</t>
  </si>
  <si>
    <t>Пенополистирол ППС25</t>
  </si>
  <si>
    <t>Изделие закладное МН118-3</t>
  </si>
  <si>
    <t>Изделие закладное МН540</t>
  </si>
  <si>
    <t>Изделие закладное МН3</t>
  </si>
  <si>
    <t>шт.</t>
  </si>
  <si>
    <t>серия 1.400-15 вып.1</t>
  </si>
  <si>
    <t>449.02623.120101.1.6-КЖ6 л.6</t>
  </si>
  <si>
    <t>Сталь арматурная А500С, ГОСТ 34028-2016, диаметр 10 мм</t>
  </si>
  <si>
    <t>Окраска закладных с огрунтовкой</t>
  </si>
  <si>
    <t xml:space="preserve">Эмаль ХС 5132 </t>
  </si>
  <si>
    <t>ТУ 6-10-1117-75.</t>
  </si>
  <si>
    <t>Грунт ЭП-057</t>
  </si>
  <si>
    <t>ТУ 6-10-11-19-12-79 160 мкм</t>
  </si>
  <si>
    <t>Сталь арматурная А240, ГОСТ5781-82, диаметр 8 мм</t>
  </si>
  <si>
    <t>Труба ПЭ 80 SDR13,6 - Ø25х2</t>
  </si>
  <si>
    <t>Пм2</t>
  </si>
  <si>
    <t>Укладка полиэтиленовой пленки</t>
  </si>
  <si>
    <t>L=300 мм деф. шов</t>
  </si>
  <si>
    <t>Раздел 2. Устройство пандуса</t>
  </si>
  <si>
    <t>Пнм1</t>
  </si>
  <si>
    <t>полиэтиленовой пленки 200мкм</t>
  </si>
  <si>
    <t xml:space="preserve">серия 1.400-15 вып.1 уголок 100х63 </t>
  </si>
  <si>
    <t>Раздел 3. Устройство противоусадочных швов</t>
  </si>
  <si>
    <t>Нарезка швов в плите глубиной 30 мм, шириной 5 мм</t>
  </si>
  <si>
    <t>Раздел 1. Устройство монолитной плиты пола на отм. 0,000 в/о 1-104</t>
  </si>
  <si>
    <t>"____ " _______________2025 г.</t>
  </si>
  <si>
    <t>Основание: РД 449.02623.120201.1.6-КЖ6</t>
  </si>
  <si>
    <t>Код ИСР: 120201</t>
  </si>
  <si>
    <t>Объект: Корпус Электролиза Б</t>
  </si>
  <si>
    <t>Сталь арматурная А240, ГОСТ5781-82, диаметр 10 мм</t>
  </si>
  <si>
    <t>ВЕДОМОСТЬ ОБЪЕМОВ РАБОТ  № 2</t>
  </si>
  <si>
    <t>с учетом нормы расхода</t>
  </si>
  <si>
    <t>деформационный шов, с учетом нормы расхода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</si>
</sst>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7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8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sz val="14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sz val="8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vertical="top"/>
    </xf>
    <xf numFmtId="0" fontId="5" fillId="0" borderId="0" xfId="0" applyFont="1"/>
    <xf numFmtId="0" fontId="6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wrapText="1"/>
    </xf>
    <xf numFmtId="0" fontId="10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wrapText="1"/>
    </xf>
    <xf numFmtId="49" fontId="10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center" vertical="top"/>
    </xf>
    <xf numFmtId="1" fontId="6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vertical="top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164" fontId="6" fillId="0" borderId="0" xfId="0" applyNumberFormat="1" applyFont="1" applyFill="1" applyBorder="1" applyAlignment="1" applyProtection="1">
      <alignment horizontal="center" vertical="top" wrapText="1"/>
    </xf>
    <xf numFmtId="1" fontId="13" fillId="0" borderId="1" xfId="0" applyNumberFormat="1" applyFont="1" applyFill="1" applyBorder="1" applyAlignment="1" applyProtection="1">
      <alignment horizontal="center" vertical="top" wrapText="1"/>
    </xf>
    <xf numFmtId="0" fontId="13" fillId="0" borderId="1" xfId="0" applyNumberFormat="1" applyFont="1" applyFill="1" applyBorder="1" applyAlignment="1" applyProtection="1">
      <alignment horizontal="center" vertical="top" wrapText="1"/>
    </xf>
    <xf numFmtId="0" fontId="13" fillId="0" borderId="1" xfId="0" applyNumberFormat="1" applyFont="1" applyFill="1" applyBorder="1" applyAlignment="1" applyProtection="1">
      <alignment vertical="top" wrapTex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164" fontId="13" fillId="0" borderId="1" xfId="0" applyNumberFormat="1" applyFont="1" applyFill="1" applyBorder="1" applyAlignment="1" applyProtection="1">
      <alignment vertical="top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NumberFormat="1" applyFont="1" applyFill="1" applyBorder="1" applyAlignment="1" applyProtection="1">
      <alignment vertical="top" wrapText="1"/>
    </xf>
    <xf numFmtId="0" fontId="13" fillId="2" borderId="1" xfId="0" applyNumberFormat="1" applyFont="1" applyFill="1" applyBorder="1" applyAlignment="1" applyProtection="1">
      <alignment horizontal="left" vertical="top" wrapText="1"/>
    </xf>
    <xf numFmtId="0" fontId="15" fillId="0" borderId="1" xfId="0" quotePrefix="1" applyNumberFormat="1" applyFont="1" applyBorder="1" applyAlignment="1">
      <alignment horizontal="center" vertical="center"/>
    </xf>
    <xf numFmtId="0" fontId="16" fillId="0" borderId="1" xfId="0" quotePrefix="1" applyNumberFormat="1" applyFont="1" applyBorder="1" applyAlignment="1">
      <alignment horizontal="left" vertical="center"/>
    </xf>
    <xf numFmtId="165" fontId="13" fillId="0" borderId="1" xfId="0" applyNumberFormat="1" applyFont="1" applyFill="1" applyBorder="1" applyAlignment="1" applyProtection="1">
      <alignment horizontal="center" vertical="top" wrapText="1"/>
    </xf>
    <xf numFmtId="0" fontId="15" fillId="0" borderId="1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/>
    </xf>
    <xf numFmtId="0" fontId="16" fillId="0" borderId="2" xfId="0" quotePrefix="1" applyNumberFormat="1" applyFont="1" applyBorder="1" applyAlignment="1">
      <alignment horizontal="left" vertical="center"/>
    </xf>
    <xf numFmtId="0" fontId="16" fillId="0" borderId="3" xfId="0" quotePrefix="1" applyNumberFormat="1" applyFont="1" applyBorder="1" applyAlignment="1">
      <alignment horizontal="left" vertical="center"/>
    </xf>
    <xf numFmtId="0" fontId="16" fillId="0" borderId="4" xfId="0" quotePrefix="1" applyNumberFormat="1" applyFont="1" applyBorder="1" applyAlignment="1">
      <alignment horizontal="left" vertical="center"/>
    </xf>
    <xf numFmtId="0" fontId="6" fillId="0" borderId="0" xfId="0" applyNumberFormat="1" applyFont="1" applyFill="1" applyBorder="1" applyAlignment="1" applyProtection="1">
      <alignment horizontal="right" vertical="center"/>
    </xf>
    <xf numFmtId="0" fontId="9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4" fillId="0" borderId="1" xfId="0" applyNumberFormat="1" applyFont="1" applyFill="1" applyBorder="1" applyAlignment="1" applyProtection="1">
      <alignment horizontal="left" vertical="center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left" vertical="top" wrapText="1"/>
    </xf>
    <xf numFmtId="0" fontId="15" fillId="0" borderId="1" xfId="0" quotePrefix="1" applyNumberFormat="1" applyFont="1" applyFill="1" applyBorder="1" applyAlignment="1">
      <alignment horizontal="left" vertical="center"/>
    </xf>
    <xf numFmtId="0" fontId="16" fillId="0" borderId="2" xfId="0" quotePrefix="1" applyNumberFormat="1" applyFont="1" applyFill="1" applyBorder="1" applyAlignment="1">
      <alignment horizontal="left" vertical="center"/>
    </xf>
    <xf numFmtId="0" fontId="16" fillId="0" borderId="3" xfId="0" quotePrefix="1" applyNumberFormat="1" applyFont="1" applyFill="1" applyBorder="1" applyAlignment="1">
      <alignment horizontal="left" vertical="center"/>
    </xf>
    <xf numFmtId="0" fontId="16" fillId="0" borderId="4" xfId="0" quotePrefix="1" applyNumberFormat="1" applyFont="1" applyFill="1" applyBorder="1" applyAlignment="1">
      <alignment horizontal="left" vertical="center"/>
    </xf>
    <xf numFmtId="0" fontId="16" fillId="0" borderId="1" xfId="0" quotePrefix="1" applyNumberFormat="1" applyFont="1" applyFill="1" applyBorder="1" applyAlignment="1">
      <alignment horizontal="left" vertical="center"/>
    </xf>
    <xf numFmtId="0" fontId="15" fillId="0" borderId="1" xfId="0" quotePrefix="1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9"/>
  <sheetViews>
    <sheetView tabSelected="1" topLeftCell="A32" zoomScale="115" zoomScaleNormal="115" workbookViewId="0">
      <selection activeCell="D60" sqref="D60"/>
    </sheetView>
  </sheetViews>
  <sheetFormatPr defaultColWidth="9.140625" defaultRowHeight="11.25" customHeight="1" x14ac:dyDescent="0.2"/>
  <cols>
    <col min="1" max="1" width="5.7109375" style="1" customWidth="1"/>
    <col min="2" max="2" width="55.7109375" style="1" bestFit="1" customWidth="1"/>
    <col min="3" max="3" width="8.5703125" style="1" customWidth="1"/>
    <col min="4" max="4" width="13" style="1" customWidth="1"/>
    <col min="5" max="5" width="28.5703125" style="1" customWidth="1"/>
    <col min="6" max="8" width="9.140625" style="1"/>
    <col min="9" max="10" width="95" style="2" hidden="1" customWidth="1"/>
    <col min="11" max="16384" width="9.140625" style="1"/>
  </cols>
  <sheetData>
    <row r="1" spans="1:16" ht="11.25" customHeight="1" x14ac:dyDescent="0.2">
      <c r="D1" s="46" t="s">
        <v>8</v>
      </c>
      <c r="E1" s="46"/>
    </row>
    <row r="3" spans="1:16" s="15" customFormat="1" ht="44.25" customHeight="1" x14ac:dyDescent="0.25">
      <c r="A3" s="13"/>
      <c r="B3" s="13"/>
      <c r="C3" s="47" t="s">
        <v>3</v>
      </c>
      <c r="D3" s="48"/>
      <c r="E3" s="48"/>
    </row>
    <row r="4" spans="1:16" s="15" customFormat="1" ht="15" customHeight="1" x14ac:dyDescent="0.25">
      <c r="A4" s="16"/>
      <c r="B4" s="16"/>
      <c r="C4" s="42" t="s">
        <v>4</v>
      </c>
      <c r="D4" s="42"/>
      <c r="E4" s="42"/>
    </row>
    <row r="5" spans="1:16" s="15" customFormat="1" ht="15" customHeight="1" x14ac:dyDescent="0.25">
      <c r="A5" s="16"/>
      <c r="B5" s="16"/>
      <c r="C5" s="42" t="s">
        <v>55</v>
      </c>
      <c r="D5" s="42"/>
      <c r="E5" s="42"/>
    </row>
    <row r="6" spans="1:16" s="15" customFormat="1" ht="9.75" customHeight="1" x14ac:dyDescent="0.2">
      <c r="A6" s="17"/>
    </row>
    <row r="7" spans="1:16" s="15" customFormat="1" ht="15" customHeight="1" x14ac:dyDescent="0.2">
      <c r="A7" s="50" t="s">
        <v>60</v>
      </c>
      <c r="B7" s="50"/>
      <c r="C7" s="50"/>
      <c r="D7" s="50"/>
      <c r="E7" s="50"/>
    </row>
    <row r="8" spans="1:16" s="15" customFormat="1" ht="15" customHeight="1" x14ac:dyDescent="0.2">
      <c r="A8" s="18"/>
      <c r="B8" s="18"/>
      <c r="C8" s="18"/>
      <c r="D8" s="18"/>
      <c r="E8" s="18"/>
    </row>
    <row r="9" spans="1:16" s="15" customFormat="1" ht="15" customHeight="1" x14ac:dyDescent="0.2">
      <c r="A9" s="51" t="s">
        <v>58</v>
      </c>
      <c r="B9" s="51"/>
      <c r="C9" s="51"/>
      <c r="D9" s="51"/>
      <c r="E9" s="51"/>
    </row>
    <row r="10" spans="1:16" s="15" customFormat="1" ht="15" customHeight="1" x14ac:dyDescent="0.2">
      <c r="A10" s="51" t="s">
        <v>7</v>
      </c>
      <c r="B10" s="51"/>
      <c r="C10" s="51"/>
      <c r="D10" s="51"/>
      <c r="E10" s="51"/>
    </row>
    <row r="11" spans="1:16" customFormat="1" ht="15" customHeight="1" x14ac:dyDescent="0.25">
      <c r="A11" s="51" t="s">
        <v>57</v>
      </c>
      <c r="B11" s="51"/>
      <c r="C11" s="51"/>
      <c r="D11" s="51"/>
      <c r="E11" s="51"/>
    </row>
    <row r="12" spans="1:16" customFormat="1" ht="15" customHeight="1" x14ac:dyDescent="0.25">
      <c r="A12" s="51" t="s">
        <v>56</v>
      </c>
      <c r="B12" s="51"/>
      <c r="C12" s="51"/>
      <c r="D12" s="51"/>
      <c r="E12" s="51"/>
    </row>
    <row r="13" spans="1:16" customFormat="1" ht="9.75" customHeight="1" x14ac:dyDescent="0.25">
      <c r="A13" s="10"/>
      <c r="B13" s="9"/>
      <c r="C13" s="9"/>
      <c r="D13" s="9"/>
      <c r="E13" s="11"/>
      <c r="N13" s="47"/>
      <c r="O13" s="47"/>
      <c r="P13" s="47"/>
    </row>
    <row r="14" spans="1:16" customFormat="1" ht="36" customHeight="1" x14ac:dyDescent="0.25">
      <c r="A14" s="31" t="s">
        <v>0</v>
      </c>
      <c r="B14" s="31" t="s">
        <v>1</v>
      </c>
      <c r="C14" s="31" t="s">
        <v>2</v>
      </c>
      <c r="D14" s="31" t="s">
        <v>5</v>
      </c>
      <c r="E14" s="31" t="s">
        <v>6</v>
      </c>
      <c r="F14" s="3"/>
      <c r="N14" s="42"/>
      <c r="O14" s="42"/>
      <c r="P14" s="42"/>
    </row>
    <row r="15" spans="1:16" customFormat="1" ht="15" x14ac:dyDescent="0.25">
      <c r="A15" s="32">
        <v>1</v>
      </c>
      <c r="B15" s="32">
        <v>2</v>
      </c>
      <c r="C15" s="32">
        <v>3</v>
      </c>
      <c r="D15" s="32">
        <v>4</v>
      </c>
      <c r="E15" s="32">
        <v>5</v>
      </c>
      <c r="F15" s="3"/>
      <c r="N15" s="42"/>
      <c r="O15" s="42"/>
      <c r="P15" s="42"/>
    </row>
    <row r="16" spans="1:16" customFormat="1" ht="15" x14ac:dyDescent="0.25">
      <c r="A16" s="52" t="s">
        <v>54</v>
      </c>
      <c r="B16" s="52"/>
      <c r="C16" s="52"/>
      <c r="D16" s="52"/>
      <c r="E16" s="52"/>
      <c r="F16" s="3"/>
      <c r="I16" s="4"/>
      <c r="J16" s="5"/>
    </row>
    <row r="17" spans="1:10" customFormat="1" ht="15" x14ac:dyDescent="0.25">
      <c r="A17" s="28"/>
      <c r="B17" s="36" t="s">
        <v>19</v>
      </c>
      <c r="C17" s="29"/>
      <c r="D17" s="29"/>
      <c r="E17" s="30"/>
      <c r="F17" s="3"/>
      <c r="I17" s="4"/>
      <c r="J17" s="5"/>
    </row>
    <row r="18" spans="1:10" customFormat="1" ht="15" x14ac:dyDescent="0.25">
      <c r="A18" s="28">
        <v>1</v>
      </c>
      <c r="B18" s="34" t="s">
        <v>17</v>
      </c>
      <c r="C18" s="53" t="s">
        <v>15</v>
      </c>
      <c r="D18" s="41">
        <v>979.4</v>
      </c>
      <c r="E18" s="33"/>
      <c r="F18" s="3"/>
      <c r="I18" s="4"/>
      <c r="J18" s="5"/>
    </row>
    <row r="19" spans="1:10" customFormat="1" ht="15" x14ac:dyDescent="0.25">
      <c r="A19" s="28">
        <v>2</v>
      </c>
      <c r="B19" s="34" t="s">
        <v>18</v>
      </c>
      <c r="C19" s="53" t="s">
        <v>15</v>
      </c>
      <c r="D19" s="41">
        <v>1198.7860000000001</v>
      </c>
      <c r="E19" s="33" t="s">
        <v>61</v>
      </c>
      <c r="F19" s="3"/>
      <c r="I19" s="4"/>
      <c r="J19" s="5"/>
    </row>
    <row r="20" spans="1:10" customFormat="1" ht="15" x14ac:dyDescent="0.25">
      <c r="A20" s="28">
        <v>3</v>
      </c>
      <c r="B20" s="34" t="s">
        <v>29</v>
      </c>
      <c r="C20" s="53" t="s">
        <v>13</v>
      </c>
      <c r="D20" s="41">
        <v>173.1</v>
      </c>
      <c r="E20" s="33"/>
      <c r="F20" s="3"/>
      <c r="I20" s="4"/>
      <c r="J20" s="5"/>
    </row>
    <row r="21" spans="1:10" customFormat="1" ht="15" x14ac:dyDescent="0.25">
      <c r="A21" s="28">
        <v>4</v>
      </c>
      <c r="B21" s="34" t="s">
        <v>14</v>
      </c>
      <c r="C21" s="53" t="s">
        <v>13</v>
      </c>
      <c r="D21" s="41">
        <v>176.56200000000001</v>
      </c>
      <c r="E21" s="33" t="s">
        <v>61</v>
      </c>
      <c r="F21" s="3"/>
      <c r="I21" s="4"/>
      <c r="J21" s="5"/>
    </row>
    <row r="22" spans="1:10" customFormat="1" ht="15" x14ac:dyDescent="0.25">
      <c r="A22" s="28">
        <v>5</v>
      </c>
      <c r="B22" s="54" t="s">
        <v>20</v>
      </c>
      <c r="C22" s="53" t="s">
        <v>21</v>
      </c>
      <c r="D22" s="41">
        <v>3684.8</v>
      </c>
      <c r="E22" s="33"/>
      <c r="F22" s="3"/>
      <c r="I22" s="4"/>
      <c r="J22" s="5"/>
    </row>
    <row r="23" spans="1:10" customFormat="1" ht="25.5" x14ac:dyDescent="0.25">
      <c r="A23" s="28">
        <v>6</v>
      </c>
      <c r="B23" s="54" t="s">
        <v>22</v>
      </c>
      <c r="C23" s="53" t="s">
        <v>13</v>
      </c>
      <c r="D23" s="41">
        <v>11.321999999999999</v>
      </c>
      <c r="E23" s="33" t="s">
        <v>62</v>
      </c>
      <c r="F23" s="3"/>
      <c r="I23" s="4"/>
      <c r="J23" s="5"/>
    </row>
    <row r="24" spans="1:10" customFormat="1" ht="15" x14ac:dyDescent="0.25">
      <c r="A24" s="28">
        <v>7</v>
      </c>
      <c r="B24" s="54" t="s">
        <v>23</v>
      </c>
      <c r="C24" s="53" t="s">
        <v>24</v>
      </c>
      <c r="D24" s="41">
        <v>2738</v>
      </c>
      <c r="E24" s="33" t="s">
        <v>25</v>
      </c>
      <c r="F24" s="3"/>
      <c r="I24" s="4"/>
      <c r="J24" s="5"/>
    </row>
    <row r="25" spans="1:10" customFormat="1" ht="25.5" x14ac:dyDescent="0.25">
      <c r="A25" s="28">
        <v>8</v>
      </c>
      <c r="B25" s="54" t="s">
        <v>26</v>
      </c>
      <c r="C25" s="53" t="s">
        <v>21</v>
      </c>
      <c r="D25" s="41">
        <v>3751.1260000000002</v>
      </c>
      <c r="E25" s="33" t="s">
        <v>62</v>
      </c>
      <c r="F25" s="3"/>
      <c r="I25" s="4"/>
      <c r="J25" s="5"/>
    </row>
    <row r="26" spans="1:10" customFormat="1" ht="15" x14ac:dyDescent="0.25">
      <c r="A26" s="28"/>
      <c r="B26" s="36" t="s">
        <v>27</v>
      </c>
      <c r="C26" s="53"/>
      <c r="D26" s="29"/>
      <c r="E26" s="30"/>
      <c r="F26" s="3"/>
      <c r="I26" s="4"/>
      <c r="J26" s="5"/>
    </row>
    <row r="27" spans="1:10" customFormat="1" ht="15" x14ac:dyDescent="0.25">
      <c r="A27" s="28">
        <v>9</v>
      </c>
      <c r="B27" s="30" t="s">
        <v>28</v>
      </c>
      <c r="C27" s="53" t="s">
        <v>13</v>
      </c>
      <c r="D27" s="29">
        <v>57</v>
      </c>
      <c r="E27" s="30"/>
      <c r="F27" s="3"/>
      <c r="I27" s="4"/>
      <c r="J27" s="5"/>
    </row>
    <row r="28" spans="1:10" customFormat="1" ht="15" x14ac:dyDescent="0.25">
      <c r="A28" s="28">
        <v>10</v>
      </c>
      <c r="B28" s="30" t="s">
        <v>30</v>
      </c>
      <c r="C28" s="53" t="s">
        <v>13</v>
      </c>
      <c r="D28" s="29">
        <v>57</v>
      </c>
      <c r="E28" s="55" t="s">
        <v>61</v>
      </c>
      <c r="F28" s="3"/>
      <c r="I28" s="4"/>
      <c r="J28" s="5"/>
    </row>
    <row r="29" spans="1:10" customFormat="1" ht="15" x14ac:dyDescent="0.25">
      <c r="A29" s="28">
        <v>11</v>
      </c>
      <c r="B29" s="34" t="s">
        <v>29</v>
      </c>
      <c r="C29" s="53" t="s">
        <v>13</v>
      </c>
      <c r="D29" s="29">
        <v>117.8</v>
      </c>
      <c r="E29" s="33"/>
      <c r="F29" s="3"/>
      <c r="I29" s="4"/>
      <c r="J29" s="5"/>
    </row>
    <row r="30" spans="1:10" customFormat="1" ht="15" x14ac:dyDescent="0.25">
      <c r="A30" s="28">
        <v>12</v>
      </c>
      <c r="B30" s="34" t="s">
        <v>31</v>
      </c>
      <c r="C30" s="53" t="s">
        <v>34</v>
      </c>
      <c r="D30" s="29">
        <v>10</v>
      </c>
      <c r="E30" s="33" t="s">
        <v>35</v>
      </c>
      <c r="F30" s="3"/>
      <c r="I30" s="4"/>
      <c r="J30" s="5"/>
    </row>
    <row r="31" spans="1:10" customFormat="1" ht="15" x14ac:dyDescent="0.25">
      <c r="A31" s="28">
        <v>13</v>
      </c>
      <c r="B31" s="34" t="s">
        <v>32</v>
      </c>
      <c r="C31" s="53" t="s">
        <v>21</v>
      </c>
      <c r="D31" s="29">
        <v>11.2</v>
      </c>
      <c r="E31" s="55" t="s">
        <v>51</v>
      </c>
      <c r="F31" s="3"/>
      <c r="I31" s="4"/>
      <c r="J31" s="5"/>
    </row>
    <row r="32" spans="1:10" customFormat="1" ht="15" x14ac:dyDescent="0.25">
      <c r="A32" s="28">
        <v>14</v>
      </c>
      <c r="B32" s="34" t="s">
        <v>33</v>
      </c>
      <c r="C32" s="53" t="s">
        <v>34</v>
      </c>
      <c r="D32" s="29">
        <v>4</v>
      </c>
      <c r="E32" s="33" t="s">
        <v>36</v>
      </c>
      <c r="F32" s="3"/>
      <c r="I32" s="4"/>
      <c r="J32" s="5"/>
    </row>
    <row r="33" spans="1:10" customFormat="1" ht="15" x14ac:dyDescent="0.25">
      <c r="A33" s="28">
        <v>15</v>
      </c>
      <c r="B33" s="34" t="s">
        <v>38</v>
      </c>
      <c r="C33" s="53" t="s">
        <v>15</v>
      </c>
      <c r="D33" s="29">
        <v>1</v>
      </c>
      <c r="E33" s="33"/>
      <c r="F33" s="3"/>
      <c r="I33" s="4"/>
      <c r="J33" s="5"/>
    </row>
    <row r="34" spans="1:10" customFormat="1" ht="15" x14ac:dyDescent="0.25">
      <c r="A34" s="28">
        <v>16</v>
      </c>
      <c r="B34" s="34" t="s">
        <v>41</v>
      </c>
      <c r="C34" s="53" t="s">
        <v>24</v>
      </c>
      <c r="D34" s="29">
        <v>0.3</v>
      </c>
      <c r="E34" s="33" t="s">
        <v>40</v>
      </c>
      <c r="F34" s="3"/>
      <c r="I34" s="4"/>
      <c r="J34" s="5"/>
    </row>
    <row r="35" spans="1:10" customFormat="1" ht="15" x14ac:dyDescent="0.25">
      <c r="A35" s="28">
        <v>17</v>
      </c>
      <c r="B35" s="34" t="s">
        <v>39</v>
      </c>
      <c r="C35" s="53" t="s">
        <v>24</v>
      </c>
      <c r="D35" s="29">
        <v>0.6</v>
      </c>
      <c r="E35" s="33" t="s">
        <v>42</v>
      </c>
      <c r="F35" s="3"/>
      <c r="I35" s="4"/>
      <c r="J35" s="5"/>
    </row>
    <row r="36" spans="1:10" customFormat="1" ht="15" x14ac:dyDescent="0.25">
      <c r="A36" s="28">
        <v>18</v>
      </c>
      <c r="B36" s="34" t="s">
        <v>14</v>
      </c>
      <c r="C36" s="53" t="s">
        <v>13</v>
      </c>
      <c r="D36" s="29">
        <v>119.56699999999999</v>
      </c>
      <c r="E36" s="55" t="s">
        <v>61</v>
      </c>
      <c r="F36" s="3"/>
      <c r="I36" s="4"/>
      <c r="J36" s="5"/>
    </row>
    <row r="37" spans="1:10" customFormat="1" ht="15" x14ac:dyDescent="0.25">
      <c r="A37" s="28">
        <v>19</v>
      </c>
      <c r="B37" s="54" t="s">
        <v>43</v>
      </c>
      <c r="C37" s="53" t="s">
        <v>24</v>
      </c>
      <c r="D37" s="29">
        <v>349.68</v>
      </c>
      <c r="E37" s="33"/>
      <c r="F37" s="3"/>
      <c r="I37" s="4"/>
      <c r="J37" s="5"/>
    </row>
    <row r="38" spans="1:10" customFormat="1" ht="15" x14ac:dyDescent="0.25">
      <c r="A38" s="28">
        <v>20</v>
      </c>
      <c r="B38" s="54" t="s">
        <v>37</v>
      </c>
      <c r="C38" s="53" t="s">
        <v>24</v>
      </c>
      <c r="D38" s="29">
        <v>993.84</v>
      </c>
      <c r="E38" s="33"/>
      <c r="F38" s="3"/>
      <c r="I38" s="4"/>
      <c r="J38" s="5"/>
    </row>
    <row r="39" spans="1:10" customFormat="1" ht="15" x14ac:dyDescent="0.25">
      <c r="A39" s="28">
        <v>21</v>
      </c>
      <c r="B39" s="54" t="s">
        <v>16</v>
      </c>
      <c r="C39" s="53" t="s">
        <v>24</v>
      </c>
      <c r="D39" s="29">
        <f>11266.64</f>
        <v>11266.64</v>
      </c>
      <c r="E39" s="30"/>
      <c r="F39" s="3"/>
      <c r="I39" s="4"/>
      <c r="J39" s="5"/>
    </row>
    <row r="40" spans="1:10" customFormat="1" ht="15" x14ac:dyDescent="0.25">
      <c r="A40" s="28">
        <v>22</v>
      </c>
      <c r="B40" s="54" t="s">
        <v>20</v>
      </c>
      <c r="C40" s="53" t="s">
        <v>21</v>
      </c>
      <c r="D40" s="29">
        <v>214.5</v>
      </c>
      <c r="E40" s="30"/>
      <c r="F40" s="3"/>
      <c r="I40" s="4"/>
      <c r="J40" s="5"/>
    </row>
    <row r="41" spans="1:10" customFormat="1" ht="25.5" x14ac:dyDescent="0.25">
      <c r="A41" s="28">
        <v>23</v>
      </c>
      <c r="B41" s="54" t="s">
        <v>22</v>
      </c>
      <c r="C41" s="53" t="s">
        <v>13</v>
      </c>
      <c r="D41" s="29">
        <v>0.61199999999999999</v>
      </c>
      <c r="E41" s="33" t="s">
        <v>62</v>
      </c>
      <c r="F41" s="3"/>
      <c r="I41" s="4"/>
      <c r="J41" s="5"/>
    </row>
    <row r="42" spans="1:10" customFormat="1" ht="15" x14ac:dyDescent="0.25">
      <c r="A42" s="28">
        <v>24</v>
      </c>
      <c r="B42" s="54" t="s">
        <v>23</v>
      </c>
      <c r="C42" s="53" t="s">
        <v>24</v>
      </c>
      <c r="D42" s="29">
        <v>198</v>
      </c>
      <c r="E42" s="33" t="s">
        <v>25</v>
      </c>
      <c r="F42" s="3"/>
      <c r="I42" s="4"/>
      <c r="J42" s="5"/>
    </row>
    <row r="43" spans="1:10" customFormat="1" ht="25.5" x14ac:dyDescent="0.25">
      <c r="A43" s="28">
        <v>25</v>
      </c>
      <c r="B43" s="54" t="s">
        <v>26</v>
      </c>
      <c r="C43" s="53" t="s">
        <v>21</v>
      </c>
      <c r="D43" s="29">
        <v>218.36099999999999</v>
      </c>
      <c r="E43" s="33" t="s">
        <v>62</v>
      </c>
      <c r="F43" s="3"/>
      <c r="I43" s="4"/>
      <c r="J43" s="5"/>
    </row>
    <row r="44" spans="1:10" customFormat="1" ht="15" x14ac:dyDescent="0.25">
      <c r="A44" s="28">
        <v>26</v>
      </c>
      <c r="B44" s="54" t="s">
        <v>44</v>
      </c>
      <c r="C44" s="53" t="s">
        <v>34</v>
      </c>
      <c r="D44" s="29">
        <v>66</v>
      </c>
      <c r="E44" s="33" t="s">
        <v>47</v>
      </c>
      <c r="F44" s="3"/>
      <c r="I44" s="4"/>
      <c r="J44" s="5"/>
    </row>
    <row r="45" spans="1:10" customFormat="1" ht="15" x14ac:dyDescent="0.25">
      <c r="A45" s="28"/>
      <c r="B45" s="36" t="s">
        <v>45</v>
      </c>
      <c r="C45" s="53"/>
      <c r="D45" s="29"/>
      <c r="E45" s="30"/>
      <c r="F45" s="3"/>
      <c r="I45" s="4"/>
      <c r="J45" s="5"/>
    </row>
    <row r="46" spans="1:10" customFormat="1" ht="15" x14ac:dyDescent="0.25">
      <c r="A46" s="28">
        <v>27</v>
      </c>
      <c r="B46" s="30" t="s">
        <v>46</v>
      </c>
      <c r="C46" s="53" t="s">
        <v>15</v>
      </c>
      <c r="D46" s="29">
        <v>5562</v>
      </c>
      <c r="E46" s="30"/>
      <c r="F46" s="3"/>
      <c r="I46" s="4"/>
      <c r="J46" s="5"/>
    </row>
    <row r="47" spans="1:10" customFormat="1" ht="15" x14ac:dyDescent="0.25">
      <c r="A47" s="28">
        <v>28</v>
      </c>
      <c r="B47" s="30" t="s">
        <v>50</v>
      </c>
      <c r="C47" s="53" t="s">
        <v>15</v>
      </c>
      <c r="D47" s="29">
        <v>6807.89</v>
      </c>
      <c r="E47" s="55" t="s">
        <v>61</v>
      </c>
      <c r="F47" s="3"/>
      <c r="I47" s="4"/>
      <c r="J47" s="5"/>
    </row>
    <row r="48" spans="1:10" customFormat="1" ht="15" x14ac:dyDescent="0.25">
      <c r="A48" s="28">
        <v>29</v>
      </c>
      <c r="B48" s="34" t="s">
        <v>29</v>
      </c>
      <c r="C48" s="53" t="s">
        <v>13</v>
      </c>
      <c r="D48" s="29">
        <v>1114</v>
      </c>
      <c r="E48" s="33"/>
      <c r="F48" s="3"/>
      <c r="I48" s="4"/>
      <c r="J48" s="5"/>
    </row>
    <row r="49" spans="1:10" customFormat="1" ht="15" x14ac:dyDescent="0.25">
      <c r="A49" s="28">
        <v>30</v>
      </c>
      <c r="B49" s="34" t="s">
        <v>31</v>
      </c>
      <c r="C49" s="53" t="s">
        <v>34</v>
      </c>
      <c r="D49" s="28">
        <v>215</v>
      </c>
      <c r="E49" s="33" t="s">
        <v>35</v>
      </c>
      <c r="F49" s="3"/>
      <c r="I49" s="4"/>
      <c r="J49" s="5"/>
    </row>
    <row r="50" spans="1:10" customFormat="1" ht="15" x14ac:dyDescent="0.25">
      <c r="A50" s="28">
        <v>31</v>
      </c>
      <c r="B50" s="34" t="s">
        <v>33</v>
      </c>
      <c r="C50" s="53" t="s">
        <v>34</v>
      </c>
      <c r="D50" s="29">
        <v>5</v>
      </c>
      <c r="E50" s="33" t="s">
        <v>36</v>
      </c>
      <c r="F50" s="3"/>
      <c r="I50" s="4"/>
      <c r="J50" s="5"/>
    </row>
    <row r="51" spans="1:10" customFormat="1" ht="15" x14ac:dyDescent="0.25">
      <c r="A51" s="28">
        <v>32</v>
      </c>
      <c r="B51" s="34" t="s">
        <v>38</v>
      </c>
      <c r="C51" s="53" t="s">
        <v>15</v>
      </c>
      <c r="D51" s="29">
        <f>0.25*0.25*D50+0.2*0.3*D49</f>
        <v>13.2125</v>
      </c>
      <c r="E51" s="33"/>
      <c r="F51" s="3"/>
      <c r="I51" s="4"/>
      <c r="J51" s="5"/>
    </row>
    <row r="52" spans="1:10" customFormat="1" ht="15" x14ac:dyDescent="0.25">
      <c r="A52" s="28">
        <v>33</v>
      </c>
      <c r="B52" s="34" t="s">
        <v>41</v>
      </c>
      <c r="C52" s="53" t="s">
        <v>24</v>
      </c>
      <c r="D52" s="29">
        <f>0.3*D51</f>
        <v>3.9637500000000001</v>
      </c>
      <c r="E52" s="33" t="s">
        <v>40</v>
      </c>
      <c r="F52" s="3"/>
      <c r="I52" s="4"/>
      <c r="J52" s="5"/>
    </row>
    <row r="53" spans="1:10" customFormat="1" ht="15" x14ac:dyDescent="0.25">
      <c r="A53" s="28">
        <v>34</v>
      </c>
      <c r="B53" s="34" t="s">
        <v>39</v>
      </c>
      <c r="C53" s="53" t="s">
        <v>24</v>
      </c>
      <c r="D53" s="29">
        <f>0.6*D51</f>
        <v>7.9275000000000002</v>
      </c>
      <c r="E53" s="33" t="s">
        <v>42</v>
      </c>
      <c r="F53" s="3"/>
      <c r="I53" s="4"/>
      <c r="J53" s="5"/>
    </row>
    <row r="54" spans="1:10" customFormat="1" ht="15" x14ac:dyDescent="0.25">
      <c r="A54" s="28">
        <v>35</v>
      </c>
      <c r="B54" s="34" t="s">
        <v>14</v>
      </c>
      <c r="C54" s="53" t="s">
        <v>13</v>
      </c>
      <c r="D54" s="29">
        <v>1130.71</v>
      </c>
      <c r="E54" s="55" t="s">
        <v>61</v>
      </c>
      <c r="F54" s="3"/>
      <c r="I54" s="4"/>
      <c r="J54" s="5"/>
    </row>
    <row r="55" spans="1:10" customFormat="1" ht="15" x14ac:dyDescent="0.25">
      <c r="A55" s="28">
        <v>36</v>
      </c>
      <c r="B55" s="54" t="s">
        <v>43</v>
      </c>
      <c r="C55" s="53" t="s">
        <v>24</v>
      </c>
      <c r="D55" s="29">
        <f>3466.55</f>
        <v>3466.55</v>
      </c>
      <c r="E55" s="33"/>
      <c r="F55" s="3"/>
      <c r="I55" s="4"/>
      <c r="J55" s="5"/>
    </row>
    <row r="56" spans="1:10" customFormat="1" ht="15" x14ac:dyDescent="0.25">
      <c r="A56" s="28">
        <v>37</v>
      </c>
      <c r="B56" s="54" t="s">
        <v>37</v>
      </c>
      <c r="C56" s="53" t="s">
        <v>24</v>
      </c>
      <c r="D56" s="29">
        <v>95174.21</v>
      </c>
      <c r="E56" s="33"/>
      <c r="F56" s="3"/>
      <c r="I56" s="4"/>
      <c r="J56" s="5"/>
    </row>
    <row r="57" spans="1:10" customFormat="1" ht="15" x14ac:dyDescent="0.25">
      <c r="A57" s="28">
        <v>38</v>
      </c>
      <c r="B57" s="54" t="s">
        <v>59</v>
      </c>
      <c r="C57" s="53" t="s">
        <v>24</v>
      </c>
      <c r="D57" s="29">
        <v>3.64</v>
      </c>
      <c r="E57" s="33"/>
      <c r="F57" s="3"/>
      <c r="I57" s="4"/>
      <c r="J57" s="5"/>
    </row>
    <row r="58" spans="1:10" customFormat="1" ht="15" x14ac:dyDescent="0.25">
      <c r="A58" s="28">
        <v>39</v>
      </c>
      <c r="B58" s="54" t="s">
        <v>20</v>
      </c>
      <c r="C58" s="53" t="s">
        <v>21</v>
      </c>
      <c r="D58" s="40">
        <v>2917.1</v>
      </c>
      <c r="E58" s="33"/>
      <c r="F58" s="3"/>
      <c r="I58" s="4"/>
      <c r="J58" s="5"/>
    </row>
    <row r="59" spans="1:10" customFormat="1" ht="25.5" x14ac:dyDescent="0.25">
      <c r="A59" s="28">
        <v>40</v>
      </c>
      <c r="B59" s="54" t="s">
        <v>22</v>
      </c>
      <c r="C59" s="53" t="s">
        <v>13</v>
      </c>
      <c r="D59" s="29">
        <v>9.0779999999999994</v>
      </c>
      <c r="E59" s="33" t="s">
        <v>62</v>
      </c>
      <c r="F59" s="3"/>
      <c r="I59" s="4"/>
      <c r="J59" s="5"/>
    </row>
    <row r="60" spans="1:10" customFormat="1" ht="15" x14ac:dyDescent="0.25">
      <c r="A60" s="28">
        <v>41</v>
      </c>
      <c r="B60" s="54" t="s">
        <v>23</v>
      </c>
      <c r="C60" s="53" t="s">
        <v>24</v>
      </c>
      <c r="D60" s="29">
        <v>2589.4</v>
      </c>
      <c r="E60" s="33" t="s">
        <v>25</v>
      </c>
      <c r="F60" s="3"/>
      <c r="I60" s="4"/>
      <c r="J60" s="5"/>
    </row>
    <row r="61" spans="1:10" customFormat="1" ht="25.5" x14ac:dyDescent="0.25">
      <c r="A61" s="28">
        <v>42</v>
      </c>
      <c r="B61" s="54" t="s">
        <v>26</v>
      </c>
      <c r="C61" s="53" t="s">
        <v>21</v>
      </c>
      <c r="D61" s="40">
        <v>2969.6080000000002</v>
      </c>
      <c r="E61" s="33" t="s">
        <v>62</v>
      </c>
      <c r="F61" s="3"/>
      <c r="I61" s="4"/>
      <c r="J61" s="5"/>
    </row>
    <row r="62" spans="1:10" customFormat="1" ht="15" x14ac:dyDescent="0.25">
      <c r="A62" s="28">
        <v>43</v>
      </c>
      <c r="B62" s="54" t="s">
        <v>44</v>
      </c>
      <c r="C62" s="53" t="s">
        <v>34</v>
      </c>
      <c r="D62" s="28">
        <v>490</v>
      </c>
      <c r="E62" s="33" t="s">
        <v>47</v>
      </c>
      <c r="F62" s="3"/>
      <c r="I62" s="4"/>
      <c r="J62" s="5"/>
    </row>
    <row r="63" spans="1:10" customFormat="1" ht="15" x14ac:dyDescent="0.25">
      <c r="A63" s="56" t="s">
        <v>48</v>
      </c>
      <c r="B63" s="57"/>
      <c r="C63" s="57"/>
      <c r="D63" s="57"/>
      <c r="E63" s="58"/>
      <c r="F63" s="3"/>
      <c r="I63" s="4"/>
      <c r="J63" s="5"/>
    </row>
    <row r="64" spans="1:10" customFormat="1" ht="15" x14ac:dyDescent="0.25">
      <c r="A64" s="59"/>
      <c r="B64" s="59" t="s">
        <v>49</v>
      </c>
      <c r="C64" s="59"/>
      <c r="D64" s="59"/>
      <c r="E64" s="59"/>
      <c r="F64" s="3"/>
      <c r="I64" s="4"/>
      <c r="J64" s="5"/>
    </row>
    <row r="65" spans="1:10" customFormat="1" ht="15" x14ac:dyDescent="0.25">
      <c r="A65" s="60">
        <v>44</v>
      </c>
      <c r="B65" s="30" t="s">
        <v>28</v>
      </c>
      <c r="C65" s="53" t="s">
        <v>13</v>
      </c>
      <c r="D65" s="60">
        <f>1.4*2</f>
        <v>2.8</v>
      </c>
      <c r="E65" s="59"/>
      <c r="F65" s="3"/>
      <c r="I65" s="4"/>
      <c r="J65" s="5"/>
    </row>
    <row r="66" spans="1:10" customFormat="1" ht="15" x14ac:dyDescent="0.25">
      <c r="A66" s="60">
        <v>45</v>
      </c>
      <c r="B66" s="30" t="s">
        <v>30</v>
      </c>
      <c r="C66" s="53" t="s">
        <v>13</v>
      </c>
      <c r="D66" s="60">
        <v>2.8839999999999999</v>
      </c>
      <c r="E66" s="55" t="s">
        <v>61</v>
      </c>
      <c r="F66" s="3"/>
      <c r="I66" s="4"/>
      <c r="J66" s="5"/>
    </row>
    <row r="67" spans="1:10" customFormat="1" ht="15" x14ac:dyDescent="0.25">
      <c r="A67" s="60">
        <v>46</v>
      </c>
      <c r="B67" s="34" t="s">
        <v>29</v>
      </c>
      <c r="C67" s="53" t="s">
        <v>13</v>
      </c>
      <c r="D67" s="60">
        <v>3.2</v>
      </c>
      <c r="E67" s="59"/>
      <c r="F67" s="3"/>
      <c r="I67" s="4"/>
      <c r="J67" s="5"/>
    </row>
    <row r="68" spans="1:10" customFormat="1" ht="15" x14ac:dyDescent="0.25">
      <c r="A68" s="60">
        <v>47</v>
      </c>
      <c r="B68" s="34" t="s">
        <v>32</v>
      </c>
      <c r="C68" s="53" t="s">
        <v>21</v>
      </c>
      <c r="D68" s="60">
        <f>5.7*2</f>
        <v>11.4</v>
      </c>
      <c r="E68" s="55" t="s">
        <v>51</v>
      </c>
      <c r="F68" s="3"/>
      <c r="I68" s="4"/>
      <c r="J68" s="5"/>
    </row>
    <row r="69" spans="1:10" customFormat="1" ht="15" x14ac:dyDescent="0.25">
      <c r="A69" s="60">
        <v>48</v>
      </c>
      <c r="B69" s="34" t="s">
        <v>38</v>
      </c>
      <c r="C69" s="53" t="s">
        <v>15</v>
      </c>
      <c r="D69" s="60">
        <v>0.1</v>
      </c>
      <c r="E69" s="59"/>
      <c r="F69" s="3"/>
      <c r="I69" s="4"/>
      <c r="J69" s="5"/>
    </row>
    <row r="70" spans="1:10" customFormat="1" ht="15" x14ac:dyDescent="0.25">
      <c r="A70" s="60">
        <v>49</v>
      </c>
      <c r="B70" s="34" t="s">
        <v>41</v>
      </c>
      <c r="C70" s="53" t="s">
        <v>24</v>
      </c>
      <c r="D70" s="29">
        <v>0.03</v>
      </c>
      <c r="E70" s="59"/>
      <c r="F70" s="3"/>
      <c r="I70" s="4"/>
      <c r="J70" s="5"/>
    </row>
    <row r="71" spans="1:10" customFormat="1" ht="15" x14ac:dyDescent="0.25">
      <c r="A71" s="60">
        <v>50</v>
      </c>
      <c r="B71" s="34" t="s">
        <v>39</v>
      </c>
      <c r="C71" s="53" t="s">
        <v>24</v>
      </c>
      <c r="D71" s="29">
        <v>0.06</v>
      </c>
      <c r="E71" s="59"/>
      <c r="F71" s="3"/>
      <c r="I71" s="4"/>
      <c r="J71" s="5"/>
    </row>
    <row r="72" spans="1:10" customFormat="1" ht="15" x14ac:dyDescent="0.25">
      <c r="A72" s="60">
        <v>51</v>
      </c>
      <c r="B72" s="34" t="s">
        <v>14</v>
      </c>
      <c r="C72" s="53" t="s">
        <v>13</v>
      </c>
      <c r="D72" s="60">
        <v>3.2480000000000002</v>
      </c>
      <c r="E72" s="55" t="s">
        <v>61</v>
      </c>
      <c r="F72" s="3"/>
      <c r="I72" s="4"/>
      <c r="J72" s="5"/>
    </row>
    <row r="73" spans="1:10" customFormat="1" ht="15" x14ac:dyDescent="0.25">
      <c r="A73" s="60">
        <v>52</v>
      </c>
      <c r="B73" s="54" t="s">
        <v>37</v>
      </c>
      <c r="C73" s="53" t="s">
        <v>24</v>
      </c>
      <c r="D73" s="60">
        <f>116.2*2</f>
        <v>232.4</v>
      </c>
      <c r="E73" s="59"/>
      <c r="F73" s="3"/>
      <c r="I73" s="4"/>
      <c r="J73" s="5"/>
    </row>
    <row r="74" spans="1:10" customFormat="1" ht="15" x14ac:dyDescent="0.25">
      <c r="A74" s="43" t="s">
        <v>52</v>
      </c>
      <c r="B74" s="44"/>
      <c r="C74" s="44"/>
      <c r="D74" s="44"/>
      <c r="E74" s="45"/>
      <c r="F74" s="3"/>
      <c r="I74" s="4"/>
      <c r="J74" s="5"/>
    </row>
    <row r="75" spans="1:10" customFormat="1" ht="15" x14ac:dyDescent="0.25">
      <c r="A75" s="38">
        <v>53</v>
      </c>
      <c r="B75" s="37" t="s">
        <v>53</v>
      </c>
      <c r="C75" s="35" t="s">
        <v>21</v>
      </c>
      <c r="D75" s="38">
        <v>1728.8</v>
      </c>
      <c r="E75" s="39"/>
      <c r="F75" s="3"/>
      <c r="I75" s="4"/>
      <c r="J75" s="5"/>
    </row>
    <row r="76" spans="1:10" customFormat="1" ht="15" x14ac:dyDescent="0.25">
      <c r="A76" s="38">
        <v>54</v>
      </c>
      <c r="B76" s="37" t="s">
        <v>23</v>
      </c>
      <c r="C76" s="35" t="s">
        <v>24</v>
      </c>
      <c r="D76" s="38">
        <v>300</v>
      </c>
      <c r="E76" s="39"/>
      <c r="F76" s="3"/>
      <c r="I76" s="4"/>
      <c r="J76" s="5"/>
    </row>
    <row r="77" spans="1:10" customFormat="1" ht="36" customHeight="1" x14ac:dyDescent="0.25">
      <c r="A77" s="24"/>
      <c r="B77" s="25"/>
      <c r="C77" s="26"/>
      <c r="D77" s="27"/>
      <c r="E77" s="27"/>
      <c r="F77" s="3"/>
      <c r="I77" s="4"/>
      <c r="J77" s="5"/>
    </row>
    <row r="78" spans="1:10" s="14" customFormat="1" ht="12" customHeight="1" x14ac:dyDescent="0.2">
      <c r="A78" s="19" t="s">
        <v>11</v>
      </c>
      <c r="B78" s="12"/>
      <c r="C78" s="19"/>
      <c r="D78" s="19"/>
      <c r="E78" s="19"/>
    </row>
    <row r="79" spans="1:10" s="14" customFormat="1" ht="16.5" customHeight="1" x14ac:dyDescent="0.2">
      <c r="A79" s="49" t="s">
        <v>9</v>
      </c>
      <c r="B79" s="49"/>
      <c r="C79" s="49"/>
      <c r="D79" s="49"/>
      <c r="E79" s="49"/>
    </row>
    <row r="80" spans="1:10" s="14" customFormat="1" ht="16.5" customHeight="1" x14ac:dyDescent="0.2">
      <c r="A80" s="22" t="s">
        <v>12</v>
      </c>
      <c r="B80" s="21"/>
      <c r="C80" s="22"/>
      <c r="D80" s="22"/>
      <c r="E80" s="22"/>
    </row>
    <row r="81" spans="1:8" s="14" customFormat="1" ht="28.5" customHeight="1" x14ac:dyDescent="0.2">
      <c r="A81" s="49" t="s">
        <v>10</v>
      </c>
      <c r="B81" s="49"/>
      <c r="C81" s="49"/>
      <c r="D81" s="49"/>
      <c r="E81" s="49"/>
    </row>
    <row r="82" spans="1:8" s="15" customFormat="1" ht="30" customHeight="1" x14ac:dyDescent="0.2">
      <c r="A82" s="12"/>
      <c r="B82" s="21"/>
      <c r="C82" s="12"/>
      <c r="D82" s="12"/>
      <c r="E82" s="12"/>
    </row>
    <row r="83" spans="1:8" customFormat="1" ht="16.5" customHeight="1" x14ac:dyDescent="0.25">
      <c r="A83" s="20"/>
      <c r="B83" s="12"/>
      <c r="C83" s="20"/>
      <c r="D83" s="20"/>
      <c r="E83" s="20"/>
    </row>
    <row r="84" spans="1:8" customFormat="1" ht="30" customHeight="1" x14ac:dyDescent="0.25">
      <c r="A84" s="23"/>
      <c r="B84" s="20"/>
      <c r="C84" s="23"/>
      <c r="D84" s="23"/>
      <c r="E84" s="23"/>
    </row>
    <row r="85" spans="1:8" customFormat="1" ht="11.25" customHeight="1" x14ac:dyDescent="0.25">
      <c r="A85" s="9"/>
      <c r="B85" s="23"/>
      <c r="C85" s="9"/>
      <c r="D85" s="9"/>
      <c r="E85" s="9"/>
    </row>
    <row r="86" spans="1:8" ht="11.25" customHeight="1" x14ac:dyDescent="0.25">
      <c r="A86" s="12"/>
      <c r="B86" s="9"/>
      <c r="C86" s="12"/>
      <c r="D86" s="12"/>
      <c r="E86" s="12"/>
    </row>
    <row r="87" spans="1:8" ht="11.25" customHeight="1" x14ac:dyDescent="0.2">
      <c r="B87" s="12"/>
    </row>
    <row r="88" spans="1:8" customFormat="1" ht="15" x14ac:dyDescent="0.25">
      <c r="A88" s="6"/>
      <c r="B88" s="1"/>
      <c r="C88" s="6"/>
      <c r="D88" s="6"/>
      <c r="E88" s="6"/>
      <c r="F88" s="6"/>
      <c r="G88" s="7"/>
      <c r="H88" s="8"/>
    </row>
    <row r="89" spans="1:8" ht="11.25" customHeight="1" x14ac:dyDescent="0.2">
      <c r="B89" s="6"/>
    </row>
  </sheetData>
  <mergeCells count="17">
    <mergeCell ref="A81:E81"/>
    <mergeCell ref="A79:E79"/>
    <mergeCell ref="A7:E7"/>
    <mergeCell ref="A9:E9"/>
    <mergeCell ref="A10:E10"/>
    <mergeCell ref="A11:E11"/>
    <mergeCell ref="A12:E12"/>
    <mergeCell ref="A16:E16"/>
    <mergeCell ref="A63:E63"/>
    <mergeCell ref="N15:P15"/>
    <mergeCell ref="N14:P14"/>
    <mergeCell ref="A74:E74"/>
    <mergeCell ref="D1:E1"/>
    <mergeCell ref="N13:P13"/>
    <mergeCell ref="C3:E3"/>
    <mergeCell ref="C4:E4"/>
    <mergeCell ref="C5:E5"/>
  </mergeCells>
  <printOptions horizontalCentered="1"/>
  <pageMargins left="0.69999998807907104" right="0.69999998807907104" top="0.75" bottom="0.75" header="0.30000001192092901" footer="0.30000001192092901"/>
  <pageSetup paperSize="9" scale="86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449.02623.120201.1.6-КЖ6</vt:lpstr>
      <vt:lpstr>'449.02623.120201.1.6-КЖ6'!Заголовки_для_печати</vt:lpstr>
      <vt:lpstr>'449.02623.120201.1.6-КЖ6'!Область_печати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Vereshchagina Olga</dc:creator>
  <cp:lastModifiedBy>Nevorotov Denis</cp:lastModifiedBy>
  <cp:lastPrinted>2024-03-13T07:40:10Z</cp:lastPrinted>
  <dcterms:created xsi:type="dcterms:W3CDTF">2020-09-30T08:50:27Z</dcterms:created>
  <dcterms:modified xsi:type="dcterms:W3CDTF">2025-09-18T07:38:39Z</dcterms:modified>
</cp:coreProperties>
</file>