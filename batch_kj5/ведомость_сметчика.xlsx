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raz-wd-354322\C$\Users\YurievAA1\Documents\Юрьев\Проект реконструкции\Компрессорная станция с осушкой\на конкурс\"/>
    </mc:Choice>
  </mc:AlternateContent>
  <bookViews>
    <workbookView xWindow="0" yWindow="0" windowWidth="38400" windowHeight="17700"/>
  </bookViews>
  <sheets>
    <sheet name="02_20_21_004_СибВАМИ_1_2_200101" sheetId="1" r:id="rId1"/>
  </sheets>
  <definedNames>
    <definedName name="_xlnm.Print_Titles" localSheetId="0">'02_20_21_004_СибВАМИ_1_2_200101'!$10:$10</definedName>
    <definedName name="_xlnm.Print_Area" localSheetId="0">'02_20_21_004_СибВАМИ_1_2_200101'!$A$7:$H$158</definedName>
  </definedNames>
  <calcPr calcId="162913"/>
</workbook>
</file>

<file path=xl/calcChain.xml><?xml version="1.0" encoding="utf-8"?>
<calcChain xmlns="http://schemas.openxmlformats.org/spreadsheetml/2006/main">
  <c r="A156" i="1" l="1"/>
  <c r="A155" i="1"/>
  <c r="A154" i="1"/>
  <c r="A153" i="1"/>
  <c r="A152" i="1"/>
  <c r="A151" i="1"/>
  <c r="A150" i="1"/>
  <c r="A149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2" i="1"/>
  <c r="A131" i="1"/>
  <c r="A130" i="1"/>
  <c r="A129" i="1"/>
  <c r="A128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3" i="1"/>
  <c r="A112" i="1"/>
  <c r="A111" i="1"/>
  <c r="A110" i="1"/>
  <c r="A109" i="1"/>
  <c r="A108" i="1"/>
  <c r="A107" i="1"/>
  <c r="A106" i="1"/>
  <c r="A105" i="1"/>
  <c r="A103" i="1"/>
  <c r="A102" i="1"/>
  <c r="A101" i="1"/>
  <c r="A100" i="1"/>
  <c r="A99" i="1"/>
  <c r="A98" i="1"/>
  <c r="A97" i="1"/>
  <c r="A96" i="1"/>
  <c r="A95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1" i="1"/>
  <c r="A20" i="1"/>
  <c r="A19" i="1"/>
  <c r="A18" i="1"/>
  <c r="A17" i="1"/>
  <c r="A16" i="1"/>
  <c r="A15" i="1"/>
</calcChain>
</file>

<file path=xl/sharedStrings.xml><?xml version="1.0" encoding="utf-8"?>
<sst xmlns="http://schemas.openxmlformats.org/spreadsheetml/2006/main" count="709" uniqueCount="387">
  <si>
    <t>№ п/п</t>
  </si>
  <si>
    <t>№ в ЛСР</t>
  </si>
  <si>
    <t>Наименование работ</t>
  </si>
  <si>
    <t>Ед.
изм.</t>
  </si>
  <si>
    <t>Кол-во</t>
  </si>
  <si>
    <t>Ссылки на чертежи</t>
  </si>
  <si>
    <t>Формула расчёта, расчёт объёмов работ и расхода материалов</t>
  </si>
  <si>
    <t>Раздел 1. Земляные работы</t>
  </si>
  <si>
    <t>1</t>
  </si>
  <si>
    <t>Разработка грунта с погрузкой на автомобили-самосвалы в котлованах объемом от 1000 до 3000 м3 экскаваторами с ковшом вместимостью 0,65 м3, группа грунтов: 1</t>
  </si>
  <si>
    <t>1000 м3</t>
  </si>
  <si>
    <t xml:space="preserve">1163 / 1000 </t>
  </si>
  <si>
    <t xml:space="preserve">1 </t>
  </si>
  <si>
    <t>2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</si>
  <si>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 км</t>
  </si>
  <si>
    <t>т</t>
  </si>
  <si>
    <t xml:space="preserve">1163*1,65 </t>
  </si>
  <si>
    <t>3</t>
  </si>
  <si>
    <t>Работа на отвале, группа грунтов: 2-3</t>
  </si>
  <si>
    <t>4</t>
  </si>
  <si>
    <t>Засыпка вручную траншей, пазух котлованов и ям, группа грунтов: 1</t>
  </si>
  <si>
    <t>100 м3</t>
  </si>
  <si>
    <t xml:space="preserve">54,5 / 100 </t>
  </si>
  <si>
    <t>5</t>
  </si>
  <si>
    <t>Песчано-гравийная смесь</t>
  </si>
  <si>
    <t>м3</t>
  </si>
  <si>
    <t xml:space="preserve">54,5*1,18*1,01 </t>
  </si>
  <si>
    <t>6</t>
  </si>
  <si>
    <t>Устройство основания под фундаменты: песчано-гравийного</t>
  </si>
  <si>
    <t xml:space="preserve"> </t>
  </si>
  <si>
    <t>7</t>
  </si>
  <si>
    <t>Смесь песчано-гравийная природная</t>
  </si>
  <si>
    <t>Раздел 2. Фундаменты</t>
  </si>
  <si>
    <t>ПФм1</t>
  </si>
  <si>
    <t>8</t>
  </si>
  <si>
    <t>Устройство бетонной подготовки</t>
  </si>
  <si>
    <t xml:space="preserve">91,71 / 100 </t>
  </si>
  <si>
    <t>9</t>
  </si>
  <si>
    <t>Смеси бетонные тяжелого бетона (БСТ), класс В7,5 (М100)</t>
  </si>
  <si>
    <t>10</t>
  </si>
  <si>
    <t>Устройство железобетонных фундаментов общего назначения объемом: более 25 м3</t>
  </si>
  <si>
    <t xml:space="preserve">469,20 / 100 </t>
  </si>
  <si>
    <t>11</t>
  </si>
  <si>
    <t>Дополнительные затраты на устройство: сложных фундаментов</t>
  </si>
  <si>
    <t>12</t>
  </si>
  <si>
    <t>Щиты из досок</t>
  </si>
  <si>
    <t>м2</t>
  </si>
  <si>
    <t xml:space="preserve">97,1244+36,17532 </t>
  </si>
  <si>
    <t>13</t>
  </si>
  <si>
    <t>Смеси бетонные тяжелого бетона (БСТ), класс В25 (М350), W6</t>
  </si>
  <si>
    <t>14</t>
  </si>
  <si>
    <t>Каркас пространственный КП1. 02.20.21.004-СибВАМИ-1-2-200101-КЖ.И-КП1</t>
  </si>
  <si>
    <t xml:space="preserve">148*16,74/1000 </t>
  </si>
  <si>
    <t>15</t>
  </si>
  <si>
    <t>Детали. 16-А500 ГОСТ 34028-2016, L=11700</t>
  </si>
  <si>
    <t xml:space="preserve">1540*18,49/1000 </t>
  </si>
  <si>
    <t>16</t>
  </si>
  <si>
    <t>Детали. 16-А500 ГОСТ 34028-2016, L=7400</t>
  </si>
  <si>
    <t xml:space="preserve">244*11,69/1000 </t>
  </si>
  <si>
    <t>17</t>
  </si>
  <si>
    <t>Детали. 16-А500 ГОСТ 34028-2016, L=2275</t>
  </si>
  <si>
    <t xml:space="preserve">404*3,59/1000 </t>
  </si>
  <si>
    <t>18</t>
  </si>
  <si>
    <t>Детали. 12-А400 ГОСТ 34028-2016, L=1700</t>
  </si>
  <si>
    <t xml:space="preserve">1204*1,51/1000 </t>
  </si>
  <si>
    <t>19</t>
  </si>
  <si>
    <t>Детали. 12-А400 ГОСТ 34028-2016, L=1185</t>
  </si>
  <si>
    <t xml:space="preserve">560*1,05/1000 </t>
  </si>
  <si>
    <t>20</t>
  </si>
  <si>
    <t>Детали. 12-А400 ГОСТ 34028-2016, L=3200</t>
  </si>
  <si>
    <t xml:space="preserve">20*2,84/1000 </t>
  </si>
  <si>
    <t>21</t>
  </si>
  <si>
    <t>Детали. 12-А400 ГОСТ 34028-2016, L=1200</t>
  </si>
  <si>
    <t xml:space="preserve">28*1,07/1000 </t>
  </si>
  <si>
    <t>22</t>
  </si>
  <si>
    <t>Детали. 12-А400 ГОСТ 34028-2016, L=11700</t>
  </si>
  <si>
    <t xml:space="preserve">92*10,39/1000 </t>
  </si>
  <si>
    <t>23</t>
  </si>
  <si>
    <t>Детали. 12-А400 ГОСТ 34028-2016, L=1215</t>
  </si>
  <si>
    <t xml:space="preserve">1160*1,08/1000 </t>
  </si>
  <si>
    <t>24</t>
  </si>
  <si>
    <t>Детали. 12-А400 ГОСТ 34028-2016, Lср=1700</t>
  </si>
  <si>
    <t xml:space="preserve">142*1,51/1000 </t>
  </si>
  <si>
    <t>25</t>
  </si>
  <si>
    <t>Детали. 12-А400 ГОСТ 34028-2016, L=2500</t>
  </si>
  <si>
    <t xml:space="preserve">16*2,22/1000 </t>
  </si>
  <si>
    <t>26</t>
  </si>
  <si>
    <t>Детали. 12-А400 ГОСТ 34028-2016, L=2000</t>
  </si>
  <si>
    <t xml:space="preserve">300*1,78/1000 </t>
  </si>
  <si>
    <t>27</t>
  </si>
  <si>
    <t>Детали. 12-А400 ГОСТ 34028-2016, L=2100</t>
  </si>
  <si>
    <t xml:space="preserve">129*1,86/1000 </t>
  </si>
  <si>
    <t>28</t>
  </si>
  <si>
    <t>Детали. 12-А400 ГОСТ 34028-2016, L=1800</t>
  </si>
  <si>
    <t xml:space="preserve">296*1,6/1000 </t>
  </si>
  <si>
    <t>29</t>
  </si>
  <si>
    <t>Детали. 8-А400 ГОСТ 34028-2016, L=1215</t>
  </si>
  <si>
    <t xml:space="preserve">145*0,48/1000 </t>
  </si>
  <si>
    <t>30</t>
  </si>
  <si>
    <t>Детали. 8-А400 ГОСТ 34028-2016, Lср=1100</t>
  </si>
  <si>
    <t xml:space="preserve">7*0,43/1000 </t>
  </si>
  <si>
    <t>31</t>
  </si>
  <si>
    <t>Детали. 8-А400 ГОСТ 34028-2016, L=1160</t>
  </si>
  <si>
    <t xml:space="preserve">66*0,46/1000 </t>
  </si>
  <si>
    <t>32</t>
  </si>
  <si>
    <t>Детали. 8-А400 ГОСТ 34028-2016, L=9420</t>
  </si>
  <si>
    <t xml:space="preserve">1*3,72/1000 </t>
  </si>
  <si>
    <t>33</t>
  </si>
  <si>
    <t>Армирование подстилающих слоев и набетонок</t>
  </si>
  <si>
    <t xml:space="preserve">41,560-4,692-15,0144 </t>
  </si>
  <si>
    <t>34</t>
  </si>
  <si>
    <t>Установка закладных деталей весом: до 4 кг</t>
  </si>
  <si>
    <t xml:space="preserve">72*2,76/1000 </t>
  </si>
  <si>
    <t>35</t>
  </si>
  <si>
    <t>Изделие закладное МН2. 02.20.21.004-СибВАМИ-1-2-200101-КЖ.И-МН2</t>
  </si>
  <si>
    <t>36</t>
  </si>
  <si>
    <t>Установка закладных деталей весом: свыше 4 до 20 кг</t>
  </si>
  <si>
    <t xml:space="preserve">(10*4,58+8*4,27+4*15,3+354,01*5,53+10,25*6,09)/1000 </t>
  </si>
  <si>
    <t>37</t>
  </si>
  <si>
    <t>Изделие закладное МН1. 02.20.21.004-СибВАМИ-1-2-200101-КЖ.И-МН1</t>
  </si>
  <si>
    <t xml:space="preserve">10*4.58/1000 </t>
  </si>
  <si>
    <t>38</t>
  </si>
  <si>
    <t>Изделие закладное МН3. 02.20.21.004-СибВАМИ-1-2-200101-КЖ.И-МН3</t>
  </si>
  <si>
    <t xml:space="preserve">8*4.27/1000 </t>
  </si>
  <si>
    <t>39</t>
  </si>
  <si>
    <t>Изделие закладное МН4. 02.20.21.004-СибВАМИ-1-2-200101-КЖ.И-МН4</t>
  </si>
  <si>
    <t xml:space="preserve">4*15.3/1000 </t>
  </si>
  <si>
    <t>40</t>
  </si>
  <si>
    <t>Изделие закладное МН7. 02.20.21.004-СибВАМИ-1-2-200101-КЖ.И-МН7</t>
  </si>
  <si>
    <t xml:space="preserve">354,01*5,53/1000 </t>
  </si>
  <si>
    <t>41</t>
  </si>
  <si>
    <t>Изделие закладное МН8. 02.20.21.004-СибВАМИ-1-2-200101-КЖ.И-МН8</t>
  </si>
  <si>
    <t xml:space="preserve">10,25*6,09/1000 </t>
  </si>
  <si>
    <t>42</t>
  </si>
  <si>
    <t>Установка анкерных болтов: при бетонировании в виде сваренных каркасов</t>
  </si>
  <si>
    <t xml:space="preserve">(13*40,88+3*31,44+2*10,62+4*24,36+5*29,4)/1000 </t>
  </si>
  <si>
    <t>43</t>
  </si>
  <si>
    <t>Анкерный блок АБ1. 02.20.21.004-СибВАМИ-1-2-200101-КЖ.И-АБ1</t>
  </si>
  <si>
    <t xml:space="preserve">13*40,88/1000 </t>
  </si>
  <si>
    <t>44</t>
  </si>
  <si>
    <t>Анкерный блок АБ2. 02.20.21.004-СибВАМИ-1-2-200101-КЖ.И-АБ2</t>
  </si>
  <si>
    <t xml:space="preserve">3*31,44/1000 </t>
  </si>
  <si>
    <t>45</t>
  </si>
  <si>
    <t>Анкерный блок АБ3. 02.20.21.004-СибВАМИ-1-2-200101-КЖ.И-АБ3</t>
  </si>
  <si>
    <t xml:space="preserve">2*10,62/1000 </t>
  </si>
  <si>
    <t>46</t>
  </si>
  <si>
    <t>Анкерный блок АБ4. 02.20.21.004-СибВАМИ-1-2-200101-КЖ.И-АБ4</t>
  </si>
  <si>
    <t xml:space="preserve">4*24,36/1000 </t>
  </si>
  <si>
    <t>47</t>
  </si>
  <si>
    <t>Анкерный блок АБ5. 02.20.21.004-СибВАМИ-1-2-200101-КЖ.И-АБ5</t>
  </si>
  <si>
    <t xml:space="preserve">5*29,4/1000 </t>
  </si>
  <si>
    <t>48</t>
  </si>
  <si>
    <t>Монтаж балок, ригелей перекрытия, покрытия и под установку оборудования многоэтажных зданий при высоте здания: до 25 м</t>
  </si>
  <si>
    <t xml:space="preserve">(2*14,6+2*33,89+4*5,11+1*18,46)/1000 </t>
  </si>
  <si>
    <t>49</t>
  </si>
  <si>
    <t>Швеллер 10П ГОСТ 8240-97, L=1700. Б1</t>
  </si>
  <si>
    <t xml:space="preserve">2*14,6/1000 </t>
  </si>
  <si>
    <t>50</t>
  </si>
  <si>
    <t>Швеллер 10П ГОСТ 8240-97, L=3945. Б2</t>
  </si>
  <si>
    <t xml:space="preserve">2*33,89/1000 </t>
  </si>
  <si>
    <t>51</t>
  </si>
  <si>
    <t>Швеллер 10П ГОСТ 8240-97, L=595. Б3</t>
  </si>
  <si>
    <t xml:space="preserve">4*5,11/1000 </t>
  </si>
  <si>
    <t>52</t>
  </si>
  <si>
    <t>Швеллер 10П ГОСТ 8240-97, L=2150. Б4</t>
  </si>
  <si>
    <t xml:space="preserve">1*18,46/1000 </t>
  </si>
  <si>
    <t>53</t>
  </si>
  <si>
    <t>Установка металлических решеток приямков (щиты приямков)</t>
  </si>
  <si>
    <t xml:space="preserve">5539,95/1000 </t>
  </si>
  <si>
    <t>54</t>
  </si>
  <si>
    <t>Щит 1. 02.20.21.004-СибВАМИ-1-2-200101-КЖ.И-Щ1...Щ20</t>
  </si>
  <si>
    <t xml:space="preserve">37*46,07/1000 </t>
  </si>
  <si>
    <t>55</t>
  </si>
  <si>
    <t>Щит 1*. 02.20.21.004-СибВАМИ-1-2-200101-КЖ.И-Щ1...Щ20</t>
  </si>
  <si>
    <t xml:space="preserve">3*46,07/1000 </t>
  </si>
  <si>
    <t>56</t>
  </si>
  <si>
    <t>Щит 2. 02.20.21.004-СибВАМИ-1-2-200101-КЖ.И-Щ1...Щ20</t>
  </si>
  <si>
    <t>57</t>
  </si>
  <si>
    <t>Щит 2*. 02.20.21.004-СибВАМИ-1-2-200101-КЖ.И-Щ1...Щ20</t>
  </si>
  <si>
    <t>58</t>
  </si>
  <si>
    <t>Щит 3. 02.20.21.004-СибВАМИ-1-2-200101-КЖ.И-Щ1...Щ20</t>
  </si>
  <si>
    <t xml:space="preserve">17*52,34/1000 </t>
  </si>
  <si>
    <t>59</t>
  </si>
  <si>
    <t>Щит 4. 02.20.21.004-СибВАМИ-1-2-200101-КЖ.И-Щ1...Щ20</t>
  </si>
  <si>
    <t xml:space="preserve">16*27,26/1000 </t>
  </si>
  <si>
    <t>60</t>
  </si>
  <si>
    <t>Щит 5. 02.20.21.004-СибВАМИ-1-2-200101-КЖ.И-Щ1...Щ20</t>
  </si>
  <si>
    <t xml:space="preserve">8*8,56/1000 </t>
  </si>
  <si>
    <t>61</t>
  </si>
  <si>
    <t>Щит 6. 02.20.21.004-СибВАМИ-1-2-200101-КЖ.И-Щ1...Щ20</t>
  </si>
  <si>
    <t xml:space="preserve">16,82/1000 </t>
  </si>
  <si>
    <t>62</t>
  </si>
  <si>
    <t>Щит 7. 02.20.21.004-СибВАМИ-1-2-200101-КЖ.И-Щ1...Щ20</t>
  </si>
  <si>
    <t xml:space="preserve">2*47,89/1000 </t>
  </si>
  <si>
    <t>63</t>
  </si>
  <si>
    <t>Щит 8. 02.20.21.004-СибВАМИ-1-2-200101-КЖ.И-Щ1...Щ20</t>
  </si>
  <si>
    <t xml:space="preserve">2*30,43/1000 </t>
  </si>
  <si>
    <t>64</t>
  </si>
  <si>
    <t>Щит 9. 02.20.21.004-СибВАМИ-1-2-200101-КЖ.И-Щ1...Щ20</t>
  </si>
  <si>
    <t xml:space="preserve">11,02/1000 </t>
  </si>
  <si>
    <t>65</t>
  </si>
  <si>
    <t>Щит 10. 02.20.21.004-СибВАМИ-1-2-200101-КЖ.И-Щ1...Щ20</t>
  </si>
  <si>
    <t xml:space="preserve">32,92/1000 </t>
  </si>
  <si>
    <t>66</t>
  </si>
  <si>
    <t>Щит 11. 02.20.21.004-СибВАМИ-1-2-200101-КЖ.И-Щ1...Щ20</t>
  </si>
  <si>
    <t xml:space="preserve">2*19,54/1000 </t>
  </si>
  <si>
    <t>67</t>
  </si>
  <si>
    <t>Щит 12. 02.20.21.004-СибВАМИ-1-2-200101-КЖ.И-Щ1...Щ20</t>
  </si>
  <si>
    <t xml:space="preserve">28,49/1000 </t>
  </si>
  <si>
    <t>68</t>
  </si>
  <si>
    <t>Щит 13. 02.20.21.004-СибВАМИ-1-2-200101-КЖ.И-Щ1...Щ20</t>
  </si>
  <si>
    <t xml:space="preserve">8,91/1000 </t>
  </si>
  <si>
    <t>69</t>
  </si>
  <si>
    <t>Щит 14. 02.20.21.004-СибВАМИ-1-2-200101-КЖ.И-Щ1...Щ20</t>
  </si>
  <si>
    <t xml:space="preserve">3*66,34/1000 </t>
  </si>
  <si>
    <t>70</t>
  </si>
  <si>
    <t>Щит 15. 02.20.21.004-СибВАМИ-1-2-200101-КЖ.И-Щ1...Щ20</t>
  </si>
  <si>
    <t xml:space="preserve">3*22,17/1000 </t>
  </si>
  <si>
    <t>71</t>
  </si>
  <si>
    <t>Щит 16. 02.20.21.004-СибВАМИ-1-2-200101-КЖ.И-Щ1...Щ20</t>
  </si>
  <si>
    <t xml:space="preserve">32*33,53/1000 </t>
  </si>
  <si>
    <t>72</t>
  </si>
  <si>
    <t>Щит 17. 02.20.21.004-СибВАМИ-1-2-200101-КЖ.И-Щ1...Щ20</t>
  </si>
  <si>
    <t xml:space="preserve">19,12/1000 </t>
  </si>
  <si>
    <t>73</t>
  </si>
  <si>
    <t>Щит 18. 02.20.21.004-СибВАМИ-1-2-200101-КЖ.И-Щ1...Щ20</t>
  </si>
  <si>
    <t xml:space="preserve">17,12/1000 </t>
  </si>
  <si>
    <t>74</t>
  </si>
  <si>
    <t>Щит 19. 02.20.21.004-СибВАМИ-1-2-200101-КЖ.И-Щ1...Щ20</t>
  </si>
  <si>
    <t xml:space="preserve">6*49,72/1000 </t>
  </si>
  <si>
    <t>75</t>
  </si>
  <si>
    <t>Щит 20. 02.20.21.004-СибВАМИ-1-2-200101-КЖ.И-Щ1...Щ20</t>
  </si>
  <si>
    <t xml:space="preserve">59,38/1000 </t>
  </si>
  <si>
    <t>76</t>
  </si>
  <si>
    <t>Гидроизоляция боковая обмазочная битумная в 2 слоя по выровненной поверхности бутовой кладки, кирпичу, бетону</t>
  </si>
  <si>
    <t>100 м2</t>
  </si>
  <si>
    <t xml:space="preserve">77,33 / 100 </t>
  </si>
  <si>
    <t>77</t>
  </si>
  <si>
    <t>Холодная битумная мастика Технониколь по ТУ 5775-034-17925162-2005</t>
  </si>
  <si>
    <t xml:space="preserve">0,0123728+0,185592 </t>
  </si>
  <si>
    <t>Фом1 - 4 шт</t>
  </si>
  <si>
    <t>78</t>
  </si>
  <si>
    <t xml:space="preserve">(2,62*4) / 100 </t>
  </si>
  <si>
    <t>79</t>
  </si>
  <si>
    <t>80</t>
  </si>
  <si>
    <t>Устройство железобетонных фундаментов общего назначения объемом: до 25 м3</t>
  </si>
  <si>
    <t xml:space="preserve">(19,21*4) / 100 </t>
  </si>
  <si>
    <t>81</t>
  </si>
  <si>
    <t>82</t>
  </si>
  <si>
    <t>83</t>
  </si>
  <si>
    <t>Детали. 16-А500 ГОСТ 34028-2016, L=7280</t>
  </si>
  <si>
    <t xml:space="preserve">34*11,41*4/1000 </t>
  </si>
  <si>
    <t>84</t>
  </si>
  <si>
    <t>Детали. 16-А500 ГОСТ 34028-2016, L=3250</t>
  </si>
  <si>
    <t xml:space="preserve">74*5,13*4/1000 </t>
  </si>
  <si>
    <t>85</t>
  </si>
  <si>
    <t>Детали. 12-А400 ГОСТ 34028-2016, L=1910</t>
  </si>
  <si>
    <t xml:space="preserve">110*1,7*4/1000 </t>
  </si>
  <si>
    <t>86</t>
  </si>
  <si>
    <t>Каркас пространственный КП3. 02.20.21.004-СибВАМИ-1-2-200101-КЖ.И-КП3</t>
  </si>
  <si>
    <t xml:space="preserve">8*19,08*4/1000 </t>
  </si>
  <si>
    <t>Фом2 - 4 шт</t>
  </si>
  <si>
    <t>87</t>
  </si>
  <si>
    <t xml:space="preserve">(0,08*4) / 100 </t>
  </si>
  <si>
    <t>88</t>
  </si>
  <si>
    <t>89</t>
  </si>
  <si>
    <t>Устройство железобетонных фундаментов общего назначения объемом: до 5 м3</t>
  </si>
  <si>
    <t xml:space="preserve">(0,27*4) / 100 </t>
  </si>
  <si>
    <t>90</t>
  </si>
  <si>
    <t>91</t>
  </si>
  <si>
    <t>92</t>
  </si>
  <si>
    <t>Детали. 16-А500 ГОСТ 34028-2016, L=820</t>
  </si>
  <si>
    <t xml:space="preserve">6*1,29*4/1000 </t>
  </si>
  <si>
    <t>93</t>
  </si>
  <si>
    <t>Детали. 16-А500 ГОСТ 34028-2016, L=430</t>
  </si>
  <si>
    <t xml:space="preserve">10*0,76*4/1000 </t>
  </si>
  <si>
    <t>94</t>
  </si>
  <si>
    <t>Детали. 12-А400 ГОСТ 34028-2016, L=760</t>
  </si>
  <si>
    <t xml:space="preserve">16*0,79*4/1000 </t>
  </si>
  <si>
    <t>95</t>
  </si>
  <si>
    <t>Каркас пространственный КП2. 02.20.21.004-СибВАМИ-1-2-200101-КЖ.И-КП2</t>
  </si>
  <si>
    <t xml:space="preserve">1*5,72*4/1000 </t>
  </si>
  <si>
    <t>Фом3 - 4 шт</t>
  </si>
  <si>
    <t>96</t>
  </si>
  <si>
    <t xml:space="preserve">(1,44*4) / 100 </t>
  </si>
  <si>
    <t>97</t>
  </si>
  <si>
    <t>98</t>
  </si>
  <si>
    <t xml:space="preserve">(8,07*4) / 100 </t>
  </si>
  <si>
    <t>99</t>
  </si>
  <si>
    <t>100</t>
  </si>
  <si>
    <t>101</t>
  </si>
  <si>
    <t>Детали. 16-А500 ГОСТ 34028-2016, L=4550</t>
  </si>
  <si>
    <t xml:space="preserve">30*7,18*4/1000 </t>
  </si>
  <si>
    <t>102</t>
  </si>
  <si>
    <t>Детали. 16-А500 ГОСТ 34028-2016, L=2880</t>
  </si>
  <si>
    <t xml:space="preserve">48*4,54*4/1000 </t>
  </si>
  <si>
    <t>103</t>
  </si>
  <si>
    <t>Детали. 12-А400 ГОСТ 34028-2016, L=1710</t>
  </si>
  <si>
    <t xml:space="preserve">78*1,52*4/1000 </t>
  </si>
  <si>
    <t>104</t>
  </si>
  <si>
    <t xml:space="preserve">5*16,74*4/1000 </t>
  </si>
  <si>
    <t>105</t>
  </si>
  <si>
    <t xml:space="preserve">(2*7,91+2*5,27)/1000*4 </t>
  </si>
  <si>
    <t>106</t>
  </si>
  <si>
    <t>Изделие закладное МН5. 02.20.21.004-СибВАМИ-1-2-200101-КЖ.И-МН5</t>
  </si>
  <si>
    <t xml:space="preserve">2*7,91/1000*4 </t>
  </si>
  <si>
    <t>107</t>
  </si>
  <si>
    <t>Изделие закладное МН6. 02.20.21.004-СибВАМИ-1-2-200101-КЖ.И-МН6</t>
  </si>
  <si>
    <t xml:space="preserve">2*5,27/1000*4 </t>
  </si>
  <si>
    <t>Деформационные швы</t>
  </si>
  <si>
    <t>108</t>
  </si>
  <si>
    <t>Гидроизоляция полиуретановым герметиком с уплотнением пенополиэтиленовым прокладочным шнуром: горизонтальных швов</t>
  </si>
  <si>
    <t>100 м</t>
  </si>
  <si>
    <t xml:space="preserve">144,96 / 100 </t>
  </si>
  <si>
    <t>109</t>
  </si>
  <si>
    <t>Герметик Сазиласт 53  (1кг=0,65 л)</t>
  </si>
  <si>
    <t>л</t>
  </si>
  <si>
    <t xml:space="preserve">92,77*0,65 </t>
  </si>
  <si>
    <t>110</t>
  </si>
  <si>
    <t>Бетонитовый шнур</t>
  </si>
  <si>
    <t>м</t>
  </si>
  <si>
    <t>111</t>
  </si>
  <si>
    <t>Изоляция изделиями из пенопласта насухо холодных поверхностей покрытий и перекрытий</t>
  </si>
  <si>
    <t>112</t>
  </si>
  <si>
    <t>Пеноплекс Гео 40 мм</t>
  </si>
  <si>
    <t>Крыльцо - 2 шт</t>
  </si>
  <si>
    <t>113</t>
  </si>
  <si>
    <t xml:space="preserve">0,46 / 100 * 2 </t>
  </si>
  <si>
    <t>114</t>
  </si>
  <si>
    <t>115</t>
  </si>
  <si>
    <t>Устройство: железобетонных крылец</t>
  </si>
  <si>
    <t xml:space="preserve">0,79 * 2 </t>
  </si>
  <si>
    <t>116</t>
  </si>
  <si>
    <t>117</t>
  </si>
  <si>
    <t>Детали. 12-А500 ГОСТ 34028-2016, L=1930</t>
  </si>
  <si>
    <t xml:space="preserve">(20*1,71/1000) * 2 </t>
  </si>
  <si>
    <t>118</t>
  </si>
  <si>
    <t>Детали. 12-А500 ГОСТ 34028-2016, L=1950</t>
  </si>
  <si>
    <t xml:space="preserve">(20*1,73/1000) * 2 </t>
  </si>
  <si>
    <t>119</t>
  </si>
  <si>
    <t>Детали. 12-А500 ГОСТ 34028-2016, L=1140</t>
  </si>
  <si>
    <t xml:space="preserve">(40*1,01/1000) * 2 </t>
  </si>
  <si>
    <t>120</t>
  </si>
  <si>
    <t>Детали. 10-А240 ГОСТ 34028-2016, L=1190</t>
  </si>
  <si>
    <t xml:space="preserve">(6*0,73/1000) * 2 </t>
  </si>
  <si>
    <t>121</t>
  </si>
  <si>
    <t xml:space="preserve">(2*4,4/1000) * 2 </t>
  </si>
  <si>
    <t>122</t>
  </si>
  <si>
    <t>Изделие закладное МН552. Серия 1.400-15, вып. 1</t>
  </si>
  <si>
    <t>123</t>
  </si>
  <si>
    <t xml:space="preserve">0,012 * 2 </t>
  </si>
  <si>
    <t>124</t>
  </si>
  <si>
    <t>Пеноплекс Гео 20 мм</t>
  </si>
  <si>
    <t>125</t>
  </si>
  <si>
    <t>Гидроизоляция полиуретановым герметиком без уплотнения пенополиэтиленовым прокладочным шнуром: горизонтальных швов</t>
  </si>
  <si>
    <t xml:space="preserve">2 / 100 * 2 </t>
  </si>
  <si>
    <t>126</t>
  </si>
  <si>
    <t>Герметик Isoflex 25</t>
  </si>
  <si>
    <t>кг</t>
  </si>
  <si>
    <t xml:space="preserve">0,6 * 2 </t>
  </si>
  <si>
    <t>Отмостка</t>
  </si>
  <si>
    <t>127</t>
  </si>
  <si>
    <t>Устройство бетонной отмостки</t>
  </si>
  <si>
    <t xml:space="preserve">(122,88*0,175) / 100 </t>
  </si>
  <si>
    <t>128</t>
  </si>
  <si>
    <t>129</t>
  </si>
  <si>
    <t xml:space="preserve">272,80/1000 </t>
  </si>
  <si>
    <t>130</t>
  </si>
  <si>
    <t>Сетка 4С 5В500С-150/5В500С-150 - 95 х 6000</t>
  </si>
  <si>
    <t>131</t>
  </si>
  <si>
    <t>132</t>
  </si>
  <si>
    <t>133</t>
  </si>
  <si>
    <t xml:space="preserve">141,68 / 100 </t>
  </si>
  <si>
    <t>134</t>
  </si>
  <si>
    <t>Герметик Сазиласт 53 (1кг=0,65 л)</t>
  </si>
  <si>
    <t xml:space="preserve">45,34*0,65 </t>
  </si>
  <si>
    <t>Временный забор</t>
  </si>
  <si>
    <t>Временное ограждение секция ИСО-2030-ЕВРО (высота 2м / длина 3м) (Давальческий материал)</t>
  </si>
  <si>
    <t>шт</t>
  </si>
  <si>
    <t xml:space="preserve">Монтаж временного ограждения Временное ограждение секция ИСО-2030-ЕВРО (высота 2м / длина 3м) </t>
  </si>
  <si>
    <t>Ograd.ORG</t>
  </si>
  <si>
    <t>Необходимо учесть перемещение секций ограждения для установки  на расстоние 6,9км. Масса одного пролета 11,7кг, масса опорного блока  32кг, количество опорных блоков 72шт. Количество секций 70шт.</t>
  </si>
  <si>
    <t>ВЕДОМОСТЬ ОБЪЕМОВ РАБОТ  № 1</t>
  </si>
  <si>
    <t>Объект: Компрессорная станция с осушкой воздуха. Устройство фундаментов.</t>
  </si>
  <si>
    <t xml:space="preserve">Проект: «Красноярский  алюминиевый завод. Экологическая реконструкция». </t>
  </si>
  <si>
    <t>Код ИСР: 200101</t>
  </si>
  <si>
    <t>Основание: РД 02.20.21.004-СибВАМИ-1-2-200101-КЖ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</si>
</sst>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0.00000"/>
    <numFmt numFmtId="168" formatCode="#,##0.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FF0000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49" fontId="1" fillId="0" borderId="0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wrapText="1"/>
    </xf>
    <xf numFmtId="0" fontId="1" fillId="0" borderId="1" xfId="0" applyNumberFormat="1" applyFont="1" applyFill="1" applyBorder="1" applyAlignment="1" applyProtection="1">
      <alignment horizontal="center" vertical="top"/>
    </xf>
    <xf numFmtId="49" fontId="1" fillId="0" borderId="1" xfId="0" applyNumberFormat="1" applyFont="1" applyFill="1" applyBorder="1" applyAlignment="1" applyProtection="1">
      <alignment horizontal="center" vertical="top" wrapText="1"/>
    </xf>
    <xf numFmtId="0" fontId="1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164" fontId="1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right" vertical="top" wrapText="1"/>
    </xf>
    <xf numFmtId="2" fontId="1" fillId="0" borderId="1" xfId="0" applyNumberFormat="1" applyFont="1" applyFill="1" applyBorder="1" applyAlignment="1" applyProtection="1">
      <alignment horizontal="right" vertical="top" wrapText="1"/>
    </xf>
    <xf numFmtId="165" fontId="1" fillId="0" borderId="1" xfId="0" applyNumberFormat="1" applyFont="1" applyFill="1" applyBorder="1" applyAlignment="1" applyProtection="1">
      <alignment horizontal="right" vertical="top" wrapText="1"/>
    </xf>
    <xf numFmtId="1" fontId="1" fillId="0" borderId="1" xfId="0" applyNumberFormat="1" applyFont="1" applyFill="1" applyBorder="1" applyAlignment="1" applyProtection="1">
      <alignment horizontal="right" vertical="top" wrapText="1"/>
    </xf>
    <xf numFmtId="166" fontId="1" fillId="0" borderId="1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wrapText="1"/>
    </xf>
    <xf numFmtId="167" fontId="1" fillId="0" borderId="1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4" fillId="0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0" fillId="0" borderId="0" xfId="0" applyBorder="1"/>
    <xf numFmtId="0" fontId="2" fillId="0" borderId="0" xfId="0" applyNumberFormat="1" applyFont="1" applyFill="1" applyBorder="1" applyAlignment="1" applyProtection="1">
      <alignment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0" fontId="6" fillId="0" borderId="0" xfId="0" applyNumberFormat="1" applyFont="1" applyFill="1" applyBorder="1" applyAlignment="1" applyProtection="1">
      <alignment horizontal="center" wrapText="1"/>
    </xf>
    <xf numFmtId="0" fontId="7" fillId="0" borderId="0" xfId="0" applyNumberFormat="1" applyFont="1" applyFill="1" applyBorder="1" applyAlignment="1" applyProtection="1">
      <alignment horizontal="center" wrapText="1"/>
    </xf>
    <xf numFmtId="168" fontId="7" fillId="0" borderId="0" xfId="0" applyNumberFormat="1" applyFont="1" applyFill="1" applyBorder="1" applyAlignment="1" applyProtection="1">
      <alignment horizontal="center" wrapText="1"/>
    </xf>
    <xf numFmtId="0" fontId="6" fillId="0" borderId="0" xfId="0" applyNumberFormat="1" applyFont="1" applyFill="1" applyBorder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D166"/>
  <sheetViews>
    <sheetView tabSelected="1" zoomScaleNormal="100" workbookViewId="0">
      <selection activeCell="C13" sqref="C13"/>
    </sheetView>
  </sheetViews>
  <sheetFormatPr defaultColWidth="9.140625" defaultRowHeight="11.25" customHeight="1" x14ac:dyDescent="0.2"/>
  <cols>
    <col min="1" max="1" width="5.5703125" style="1" customWidth="1"/>
    <col min="2" max="2" width="5.5703125" style="2" customWidth="1"/>
    <col min="3" max="3" width="46.5703125" style="2" customWidth="1"/>
    <col min="4" max="4" width="10.7109375" style="2" customWidth="1"/>
    <col min="5" max="5" width="12.28515625" style="2" customWidth="1"/>
    <col min="6" max="6" width="12.5703125" style="2" customWidth="1"/>
    <col min="7" max="7" width="11.140625" style="2" customWidth="1"/>
    <col min="8" max="8" width="34.7109375" style="2" customWidth="1"/>
    <col min="9" max="9" width="9.140625" style="2"/>
    <col min="10" max="10" width="4.7109375" style="2" hidden="1" customWidth="1"/>
    <col min="11" max="16" width="9.140625" style="2"/>
    <col min="17" max="18" width="135.28515625" style="3" hidden="1" customWidth="1"/>
    <col min="19" max="20" width="55.140625" style="3" hidden="1" customWidth="1"/>
    <col min="21" max="24" width="69" style="3" hidden="1" customWidth="1"/>
    <col min="25" max="26" width="55.140625" style="3" hidden="1" customWidth="1"/>
    <col min="27" max="30" width="69" style="3" hidden="1" customWidth="1"/>
    <col min="31" max="16384" width="9.140625" style="2"/>
  </cols>
  <sheetData>
    <row r="2" spans="1:17" ht="11.25" customHeight="1" x14ac:dyDescent="0.2">
      <c r="A2" s="32" t="s">
        <v>382</v>
      </c>
      <c r="B2" s="32"/>
      <c r="C2" s="32"/>
      <c r="D2" s="32"/>
      <c r="E2" s="32"/>
      <c r="F2" s="32"/>
      <c r="G2" s="32"/>
      <c r="H2" s="32"/>
    </row>
    <row r="3" spans="1:17" ht="11.25" customHeight="1" x14ac:dyDescent="0.2">
      <c r="A3" s="33"/>
      <c r="B3" s="33"/>
      <c r="C3" s="33"/>
      <c r="D3" s="34"/>
      <c r="E3" s="33"/>
    </row>
    <row r="4" spans="1:17" ht="14.25" x14ac:dyDescent="0.2">
      <c r="A4" s="35" t="s">
        <v>383</v>
      </c>
      <c r="B4" s="35"/>
      <c r="C4" s="35"/>
      <c r="D4" s="35"/>
      <c r="E4" s="35"/>
    </row>
    <row r="5" spans="1:17" ht="14.25" x14ac:dyDescent="0.2">
      <c r="A5" s="35" t="s">
        <v>384</v>
      </c>
      <c r="B5" s="35"/>
      <c r="C5" s="35"/>
      <c r="D5" s="35"/>
      <c r="E5" s="35"/>
    </row>
    <row r="6" spans="1:17" ht="14.25" x14ac:dyDescent="0.2">
      <c r="A6" s="35" t="s">
        <v>385</v>
      </c>
      <c r="B6" s="35"/>
      <c r="C6" s="35"/>
      <c r="D6" s="35"/>
      <c r="E6" s="35"/>
    </row>
    <row r="7" spans="1:17" ht="18.75" customHeight="1" x14ac:dyDescent="0.2">
      <c r="A7" s="35" t="s">
        <v>386</v>
      </c>
      <c r="B7" s="35"/>
      <c r="C7" s="35"/>
      <c r="D7" s="35"/>
      <c r="E7" s="35"/>
    </row>
    <row r="8" spans="1:17" customFormat="1" ht="9.75" customHeight="1" x14ac:dyDescent="0.25">
      <c r="A8" s="4"/>
    </row>
    <row r="9" spans="1:17" customFormat="1" ht="36" customHeight="1" x14ac:dyDescent="0.25">
      <c r="A9" s="5" t="s">
        <v>0</v>
      </c>
      <c r="B9" s="23" t="s">
        <v>1</v>
      </c>
      <c r="C9" s="23" t="s">
        <v>2</v>
      </c>
      <c r="D9" s="23" t="s">
        <v>3</v>
      </c>
      <c r="E9" s="23" t="s">
        <v>4</v>
      </c>
      <c r="F9" s="23" t="s">
        <v>5</v>
      </c>
      <c r="G9" s="28" t="s">
        <v>6</v>
      </c>
      <c r="H9" s="28"/>
    </row>
    <row r="10" spans="1:17" customFormat="1" ht="15" x14ac:dyDescent="0.25">
      <c r="A10" s="6">
        <v>1</v>
      </c>
      <c r="B10" s="7">
        <v>2</v>
      </c>
      <c r="C10" s="7">
        <v>3</v>
      </c>
      <c r="D10" s="7">
        <v>4</v>
      </c>
      <c r="E10" s="7">
        <v>5</v>
      </c>
      <c r="F10" s="7">
        <v>6</v>
      </c>
      <c r="G10" s="29">
        <v>7</v>
      </c>
      <c r="H10" s="29"/>
      <c r="I10" s="26"/>
      <c r="J10" s="26"/>
      <c r="K10" s="26"/>
      <c r="L10" s="26"/>
    </row>
    <row r="11" spans="1:17" customFormat="1" ht="15" x14ac:dyDescent="0.25">
      <c r="A11" s="30" t="s">
        <v>376</v>
      </c>
      <c r="B11" s="30"/>
      <c r="C11" s="30"/>
      <c r="D11" s="30"/>
      <c r="E11" s="30"/>
      <c r="F11" s="30"/>
      <c r="G11" s="30"/>
      <c r="H11" s="30"/>
      <c r="I11" s="27"/>
      <c r="J11" s="27"/>
      <c r="K11" s="26"/>
      <c r="L11" s="26"/>
    </row>
    <row r="12" spans="1:17" customFormat="1" ht="38.25" x14ac:dyDescent="0.25">
      <c r="A12" s="6" t="s">
        <v>8</v>
      </c>
      <c r="B12" s="7"/>
      <c r="C12" s="25" t="s">
        <v>379</v>
      </c>
      <c r="D12" s="7" t="s">
        <v>378</v>
      </c>
      <c r="E12" s="7">
        <v>70</v>
      </c>
      <c r="F12" s="7"/>
      <c r="G12" s="7"/>
      <c r="H12" s="7"/>
      <c r="I12" s="26"/>
      <c r="J12" s="26"/>
      <c r="K12" s="26"/>
      <c r="L12" s="26"/>
    </row>
    <row r="13" spans="1:17" customFormat="1" ht="56.25" x14ac:dyDescent="0.25">
      <c r="A13" s="6" t="s">
        <v>13</v>
      </c>
      <c r="B13" s="7"/>
      <c r="C13" s="25" t="s">
        <v>377</v>
      </c>
      <c r="D13" s="7" t="s">
        <v>378</v>
      </c>
      <c r="E13" s="7">
        <v>70</v>
      </c>
      <c r="F13" s="7" t="s">
        <v>380</v>
      </c>
      <c r="G13" s="7"/>
      <c r="H13" s="24" t="s">
        <v>381</v>
      </c>
      <c r="I13" s="26"/>
      <c r="J13" s="26"/>
      <c r="K13" s="26"/>
      <c r="L13" s="26"/>
    </row>
    <row r="14" spans="1:17" customFormat="1" ht="15" x14ac:dyDescent="0.25">
      <c r="A14" s="30" t="s">
        <v>7</v>
      </c>
      <c r="B14" s="30"/>
      <c r="C14" s="30"/>
      <c r="D14" s="30"/>
      <c r="E14" s="30"/>
      <c r="F14" s="30"/>
      <c r="G14" s="30"/>
      <c r="H14" s="30"/>
      <c r="I14" s="26"/>
      <c r="J14" s="26"/>
      <c r="K14" s="26"/>
      <c r="L14" s="26"/>
      <c r="Q14" s="8" t="s">
        <v>7</v>
      </c>
    </row>
    <row r="15" spans="1:17" customFormat="1" ht="33.75" x14ac:dyDescent="0.25">
      <c r="A15" s="9">
        <f>IF(J15&lt;&gt;"",COUNTA(J$7:J15),"")</f>
        <v>1</v>
      </c>
      <c r="B15" s="10" t="s">
        <v>8</v>
      </c>
      <c r="C15" s="11" t="s">
        <v>9</v>
      </c>
      <c r="D15" s="12" t="s">
        <v>10</v>
      </c>
      <c r="E15" s="13">
        <v>1.163</v>
      </c>
      <c r="F15" s="11"/>
      <c r="G15" s="14"/>
      <c r="H15" s="11" t="s">
        <v>11</v>
      </c>
      <c r="J15" s="2" t="s">
        <v>12</v>
      </c>
      <c r="Q15" s="8"/>
    </row>
    <row r="16" spans="1:17" customFormat="1" ht="67.5" x14ac:dyDescent="0.25">
      <c r="A16" s="9">
        <f>IF(J16&lt;&gt;"",COUNTA(J$7:J16),"")</f>
        <v>2</v>
      </c>
      <c r="B16" s="10" t="s">
        <v>13</v>
      </c>
      <c r="C16" s="11" t="s">
        <v>14</v>
      </c>
      <c r="D16" s="12" t="s">
        <v>15</v>
      </c>
      <c r="E16" s="15">
        <v>1918.95</v>
      </c>
      <c r="F16" s="11"/>
      <c r="G16" s="14"/>
      <c r="H16" s="11" t="s">
        <v>16</v>
      </c>
      <c r="J16" s="2" t="s">
        <v>12</v>
      </c>
      <c r="Q16" s="8"/>
    </row>
    <row r="17" spans="1:18" customFormat="1" ht="15" x14ac:dyDescent="0.25">
      <c r="A17" s="9">
        <f>IF(J17&lt;&gt;"",COUNTA(J$7:J17),"")</f>
        <v>3</v>
      </c>
      <c r="B17" s="10" t="s">
        <v>17</v>
      </c>
      <c r="C17" s="11" t="s">
        <v>18</v>
      </c>
      <c r="D17" s="12" t="s">
        <v>10</v>
      </c>
      <c r="E17" s="13">
        <v>1.163</v>
      </c>
      <c r="F17" s="11"/>
      <c r="G17" s="14"/>
      <c r="H17" s="11" t="s">
        <v>11</v>
      </c>
      <c r="J17" s="2" t="s">
        <v>12</v>
      </c>
      <c r="Q17" s="8"/>
    </row>
    <row r="18" spans="1:18" customFormat="1" ht="22.5" x14ac:dyDescent="0.25">
      <c r="A18" s="9">
        <f>IF(J18&lt;&gt;"",COUNTA(J$7:J18),"")</f>
        <v>4</v>
      </c>
      <c r="B18" s="10" t="s">
        <v>19</v>
      </c>
      <c r="C18" s="11" t="s">
        <v>20</v>
      </c>
      <c r="D18" s="12" t="s">
        <v>21</v>
      </c>
      <c r="E18" s="13">
        <v>0.54500000000000004</v>
      </c>
      <c r="F18" s="11"/>
      <c r="G18" s="14"/>
      <c r="H18" s="11" t="s">
        <v>22</v>
      </c>
      <c r="J18" s="2" t="s">
        <v>12</v>
      </c>
      <c r="Q18" s="8"/>
    </row>
    <row r="19" spans="1:18" customFormat="1" ht="15" x14ac:dyDescent="0.25">
      <c r="A19" s="9">
        <f>IF(J19&lt;&gt;"",COUNTA(J$7:J19),"")</f>
        <v>5</v>
      </c>
      <c r="B19" s="10" t="s">
        <v>23</v>
      </c>
      <c r="C19" s="11" t="s">
        <v>24</v>
      </c>
      <c r="D19" s="12" t="s">
        <v>25</v>
      </c>
      <c r="E19" s="16">
        <v>64.953100000000006</v>
      </c>
      <c r="F19" s="11"/>
      <c r="G19" s="14"/>
      <c r="H19" s="11" t="s">
        <v>26</v>
      </c>
      <c r="J19" s="2" t="s">
        <v>12</v>
      </c>
      <c r="Q19" s="8"/>
    </row>
    <row r="20" spans="1:18" customFormat="1" ht="22.5" x14ac:dyDescent="0.25">
      <c r="A20" s="9">
        <f>IF(J20&lt;&gt;"",COUNTA(J$7:J20),"")</f>
        <v>6</v>
      </c>
      <c r="B20" s="10" t="s">
        <v>27</v>
      </c>
      <c r="C20" s="11" t="s">
        <v>28</v>
      </c>
      <c r="D20" s="12" t="s">
        <v>25</v>
      </c>
      <c r="E20" s="17">
        <v>554</v>
      </c>
      <c r="F20" s="11"/>
      <c r="G20" s="14"/>
      <c r="H20" s="11" t="s">
        <v>29</v>
      </c>
      <c r="J20" s="2" t="s">
        <v>12</v>
      </c>
      <c r="Q20" s="8"/>
    </row>
    <row r="21" spans="1:18" customFormat="1" ht="15" x14ac:dyDescent="0.25">
      <c r="A21" s="9">
        <f>IF(J21&lt;&gt;"",COUNTA(J$7:J21),"")</f>
        <v>7</v>
      </c>
      <c r="B21" s="10" t="s">
        <v>30</v>
      </c>
      <c r="C21" s="11" t="s">
        <v>31</v>
      </c>
      <c r="D21" s="12" t="s">
        <v>25</v>
      </c>
      <c r="E21" s="18">
        <v>637.1</v>
      </c>
      <c r="F21" s="11"/>
      <c r="G21" s="14"/>
      <c r="H21" s="11" t="s">
        <v>29</v>
      </c>
      <c r="J21" s="2" t="s">
        <v>12</v>
      </c>
      <c r="Q21" s="8"/>
    </row>
    <row r="22" spans="1:18" customFormat="1" ht="15" x14ac:dyDescent="0.25">
      <c r="A22" s="30" t="s">
        <v>32</v>
      </c>
      <c r="B22" s="30"/>
      <c r="C22" s="30"/>
      <c r="D22" s="30"/>
      <c r="E22" s="30"/>
      <c r="F22" s="30"/>
      <c r="G22" s="30"/>
      <c r="H22" s="30"/>
      <c r="Q22" s="8" t="s">
        <v>32</v>
      </c>
    </row>
    <row r="23" spans="1:18" customFormat="1" ht="15" x14ac:dyDescent="0.25">
      <c r="A23" s="31" t="s">
        <v>33</v>
      </c>
      <c r="B23" s="31"/>
      <c r="C23" s="31"/>
      <c r="D23" s="31"/>
      <c r="E23" s="31"/>
      <c r="F23" s="31"/>
      <c r="G23" s="31"/>
      <c r="H23" s="31"/>
      <c r="Q23" s="8"/>
      <c r="R23" s="19" t="s">
        <v>33</v>
      </c>
    </row>
    <row r="24" spans="1:18" customFormat="1" ht="15" x14ac:dyDescent="0.25">
      <c r="A24" s="9">
        <f>IF(J24&lt;&gt;"",COUNTA(J$7:J24),"")</f>
        <v>8</v>
      </c>
      <c r="B24" s="10" t="s">
        <v>34</v>
      </c>
      <c r="C24" s="11" t="s">
        <v>35</v>
      </c>
      <c r="D24" s="12" t="s">
        <v>21</v>
      </c>
      <c r="E24" s="16">
        <v>0.91710000000000003</v>
      </c>
      <c r="F24" s="11"/>
      <c r="G24" s="14"/>
      <c r="H24" s="11" t="s">
        <v>36</v>
      </c>
      <c r="J24" s="2" t="s">
        <v>12</v>
      </c>
      <c r="Q24" s="8"/>
      <c r="R24" s="19"/>
    </row>
    <row r="25" spans="1:18" customFormat="1" ht="15" x14ac:dyDescent="0.25">
      <c r="A25" s="9">
        <f>IF(J25&lt;&gt;"",COUNTA(J$7:J25),"")</f>
        <v>9</v>
      </c>
      <c r="B25" s="10" t="s">
        <v>37</v>
      </c>
      <c r="C25" s="11" t="s">
        <v>38</v>
      </c>
      <c r="D25" s="12" t="s">
        <v>25</v>
      </c>
      <c r="E25" s="16">
        <v>93.544200000000004</v>
      </c>
      <c r="F25" s="11"/>
      <c r="G25" s="14"/>
      <c r="H25" s="11" t="s">
        <v>29</v>
      </c>
      <c r="J25" s="2" t="s">
        <v>12</v>
      </c>
      <c r="Q25" s="8"/>
      <c r="R25" s="19"/>
    </row>
    <row r="26" spans="1:18" customFormat="1" ht="22.5" x14ac:dyDescent="0.25">
      <c r="A26" s="9">
        <f>IF(J26&lt;&gt;"",COUNTA(J$7:J26),"")</f>
        <v>10</v>
      </c>
      <c r="B26" s="10" t="s">
        <v>39</v>
      </c>
      <c r="C26" s="11" t="s">
        <v>40</v>
      </c>
      <c r="D26" s="12" t="s">
        <v>21</v>
      </c>
      <c r="E26" s="13">
        <v>4.6920000000000002</v>
      </c>
      <c r="F26" s="11"/>
      <c r="G26" s="14"/>
      <c r="H26" s="11" t="s">
        <v>41</v>
      </c>
      <c r="J26" s="2" t="s">
        <v>12</v>
      </c>
      <c r="Q26" s="8"/>
      <c r="R26" s="19"/>
    </row>
    <row r="27" spans="1:18" customFormat="1" ht="22.5" x14ac:dyDescent="0.25">
      <c r="A27" s="9">
        <f>IF(J27&lt;&gt;"",COUNTA(J$7:J27),"")</f>
        <v>11</v>
      </c>
      <c r="B27" s="10" t="s">
        <v>42</v>
      </c>
      <c r="C27" s="11" t="s">
        <v>43</v>
      </c>
      <c r="D27" s="12" t="s">
        <v>21</v>
      </c>
      <c r="E27" s="13">
        <v>4.6920000000000002</v>
      </c>
      <c r="F27" s="11"/>
      <c r="G27" s="14"/>
      <c r="H27" s="11" t="s">
        <v>41</v>
      </c>
      <c r="J27" s="2" t="s">
        <v>12</v>
      </c>
      <c r="Q27" s="8"/>
      <c r="R27" s="19"/>
    </row>
    <row r="28" spans="1:18" customFormat="1" ht="15" x14ac:dyDescent="0.25">
      <c r="A28" s="9">
        <f>IF(J28&lt;&gt;"",COUNTA(J$7:J28),"")</f>
        <v>12</v>
      </c>
      <c r="B28" s="10" t="s">
        <v>44</v>
      </c>
      <c r="C28" s="11" t="s">
        <v>45</v>
      </c>
      <c r="D28" s="12" t="s">
        <v>46</v>
      </c>
      <c r="E28" s="18">
        <v>133.30000000000001</v>
      </c>
      <c r="F28" s="11"/>
      <c r="G28" s="14"/>
      <c r="H28" s="11" t="s">
        <v>47</v>
      </c>
      <c r="J28" s="2" t="s">
        <v>12</v>
      </c>
      <c r="Q28" s="8"/>
      <c r="R28" s="19"/>
    </row>
    <row r="29" spans="1:18" customFormat="1" ht="22.5" x14ac:dyDescent="0.25">
      <c r="A29" s="9">
        <f>IF(J29&lt;&gt;"",COUNTA(J$7:J29),"")</f>
        <v>13</v>
      </c>
      <c r="B29" s="10" t="s">
        <v>48</v>
      </c>
      <c r="C29" s="11" t="s">
        <v>49</v>
      </c>
      <c r="D29" s="12" t="s">
        <v>25</v>
      </c>
      <c r="E29" s="13">
        <v>476.238</v>
      </c>
      <c r="F29" s="11"/>
      <c r="G29" s="14"/>
      <c r="H29" s="11" t="s">
        <v>29</v>
      </c>
      <c r="J29" s="2" t="s">
        <v>12</v>
      </c>
      <c r="Q29" s="8"/>
      <c r="R29" s="19"/>
    </row>
    <row r="30" spans="1:18" customFormat="1" ht="22.5" x14ac:dyDescent="0.25">
      <c r="A30" s="9">
        <f>IF(J30&lt;&gt;"",COUNTA(J$7:J30),"")</f>
        <v>14</v>
      </c>
      <c r="B30" s="10" t="s">
        <v>50</v>
      </c>
      <c r="C30" s="11" t="s">
        <v>51</v>
      </c>
      <c r="D30" s="12" t="s">
        <v>15</v>
      </c>
      <c r="E30" s="16">
        <v>2.4775</v>
      </c>
      <c r="F30" s="11"/>
      <c r="G30" s="14"/>
      <c r="H30" s="11" t="s">
        <v>52</v>
      </c>
      <c r="J30" s="2" t="s">
        <v>12</v>
      </c>
      <c r="Q30" s="8"/>
      <c r="R30" s="19"/>
    </row>
    <row r="31" spans="1:18" customFormat="1" ht="15" x14ac:dyDescent="0.25">
      <c r="A31" s="9">
        <f>IF(J31&lt;&gt;"",COUNTA(J$7:J31),"")</f>
        <v>15</v>
      </c>
      <c r="B31" s="10" t="s">
        <v>53</v>
      </c>
      <c r="C31" s="11" t="s">
        <v>54</v>
      </c>
      <c r="D31" s="12" t="s">
        <v>15</v>
      </c>
      <c r="E31" s="16">
        <v>28.474599999999999</v>
      </c>
      <c r="F31" s="11"/>
      <c r="G31" s="14"/>
      <c r="H31" s="11" t="s">
        <v>55</v>
      </c>
      <c r="J31" s="2" t="s">
        <v>12</v>
      </c>
      <c r="Q31" s="8"/>
      <c r="R31" s="19"/>
    </row>
    <row r="32" spans="1:18" customFormat="1" ht="15" x14ac:dyDescent="0.25">
      <c r="A32" s="9">
        <f>IF(J32&lt;&gt;"",COUNTA(J$7:J32),"")</f>
        <v>16</v>
      </c>
      <c r="B32" s="10" t="s">
        <v>56</v>
      </c>
      <c r="C32" s="11" t="s">
        <v>57</v>
      </c>
      <c r="D32" s="12" t="s">
        <v>15</v>
      </c>
      <c r="E32" s="16">
        <v>2.8523999999999998</v>
      </c>
      <c r="F32" s="11"/>
      <c r="G32" s="14"/>
      <c r="H32" s="11" t="s">
        <v>58</v>
      </c>
      <c r="J32" s="2" t="s">
        <v>12</v>
      </c>
      <c r="Q32" s="8"/>
      <c r="R32" s="19"/>
    </row>
    <row r="33" spans="1:18" customFormat="1" ht="15" x14ac:dyDescent="0.25">
      <c r="A33" s="9">
        <f>IF(J33&lt;&gt;"",COUNTA(J$7:J33),"")</f>
        <v>17</v>
      </c>
      <c r="B33" s="10" t="s">
        <v>59</v>
      </c>
      <c r="C33" s="11" t="s">
        <v>60</v>
      </c>
      <c r="D33" s="12" t="s">
        <v>15</v>
      </c>
      <c r="E33" s="16">
        <v>1.4503999999999999</v>
      </c>
      <c r="F33" s="11"/>
      <c r="G33" s="14"/>
      <c r="H33" s="11" t="s">
        <v>61</v>
      </c>
      <c r="J33" s="2" t="s">
        <v>12</v>
      </c>
      <c r="Q33" s="8"/>
      <c r="R33" s="19"/>
    </row>
    <row r="34" spans="1:18" customFormat="1" ht="15" x14ac:dyDescent="0.25">
      <c r="A34" s="9">
        <f>IF(J34&lt;&gt;"",COUNTA(J$7:J34),"")</f>
        <v>18</v>
      </c>
      <c r="B34" s="10" t="s">
        <v>62</v>
      </c>
      <c r="C34" s="11" t="s">
        <v>63</v>
      </c>
      <c r="D34" s="12" t="s">
        <v>15</v>
      </c>
      <c r="E34" s="13">
        <v>1.8180000000000001</v>
      </c>
      <c r="F34" s="11"/>
      <c r="G34" s="14"/>
      <c r="H34" s="11" t="s">
        <v>64</v>
      </c>
      <c r="J34" s="2" t="s">
        <v>12</v>
      </c>
      <c r="Q34" s="8"/>
      <c r="R34" s="19"/>
    </row>
    <row r="35" spans="1:18" customFormat="1" ht="15" x14ac:dyDescent="0.25">
      <c r="A35" s="9">
        <f>IF(J35&lt;&gt;"",COUNTA(J$7:J35),"")</f>
        <v>19</v>
      </c>
      <c r="B35" s="10" t="s">
        <v>65</v>
      </c>
      <c r="C35" s="11" t="s">
        <v>66</v>
      </c>
      <c r="D35" s="12" t="s">
        <v>15</v>
      </c>
      <c r="E35" s="13">
        <v>0.58799999999999997</v>
      </c>
      <c r="F35" s="11"/>
      <c r="G35" s="14"/>
      <c r="H35" s="11" t="s">
        <v>67</v>
      </c>
      <c r="J35" s="2" t="s">
        <v>12</v>
      </c>
      <c r="Q35" s="8"/>
      <c r="R35" s="19"/>
    </row>
    <row r="36" spans="1:18" customFormat="1" ht="15" x14ac:dyDescent="0.25">
      <c r="A36" s="9">
        <f>IF(J36&lt;&gt;"",COUNTA(J$7:J36),"")</f>
        <v>20</v>
      </c>
      <c r="B36" s="10" t="s">
        <v>68</v>
      </c>
      <c r="C36" s="11" t="s">
        <v>69</v>
      </c>
      <c r="D36" s="12" t="s">
        <v>15</v>
      </c>
      <c r="E36" s="16">
        <v>5.6800000000000003E-2</v>
      </c>
      <c r="F36" s="11"/>
      <c r="G36" s="14"/>
      <c r="H36" s="11" t="s">
        <v>70</v>
      </c>
      <c r="J36" s="2" t="s">
        <v>12</v>
      </c>
      <c r="Q36" s="8"/>
      <c r="R36" s="19"/>
    </row>
    <row r="37" spans="1:18" customFormat="1" ht="15" x14ac:dyDescent="0.25">
      <c r="A37" s="9">
        <f>IF(J37&lt;&gt;"",COUNTA(J$7:J37),"")</f>
        <v>21</v>
      </c>
      <c r="B37" s="10" t="s">
        <v>71</v>
      </c>
      <c r="C37" s="11" t="s">
        <v>72</v>
      </c>
      <c r="D37" s="12" t="s">
        <v>15</v>
      </c>
      <c r="E37" s="15">
        <v>0.03</v>
      </c>
      <c r="F37" s="11"/>
      <c r="G37" s="14"/>
      <c r="H37" s="11" t="s">
        <v>73</v>
      </c>
      <c r="J37" s="2" t="s">
        <v>12</v>
      </c>
      <c r="Q37" s="8"/>
      <c r="R37" s="19"/>
    </row>
    <row r="38" spans="1:18" customFormat="1" ht="15" x14ac:dyDescent="0.25">
      <c r="A38" s="9">
        <f>IF(J38&lt;&gt;"",COUNTA(J$7:J38),"")</f>
        <v>22</v>
      </c>
      <c r="B38" s="10" t="s">
        <v>74</v>
      </c>
      <c r="C38" s="11" t="s">
        <v>75</v>
      </c>
      <c r="D38" s="12" t="s">
        <v>15</v>
      </c>
      <c r="E38" s="16">
        <v>0.95589999999999997</v>
      </c>
      <c r="F38" s="11"/>
      <c r="G38" s="14"/>
      <c r="H38" s="11" t="s">
        <v>76</v>
      </c>
      <c r="J38" s="2" t="s">
        <v>12</v>
      </c>
      <c r="Q38" s="8"/>
      <c r="R38" s="19"/>
    </row>
    <row r="39" spans="1:18" customFormat="1" ht="15" x14ac:dyDescent="0.25">
      <c r="A39" s="9">
        <f>IF(J39&lt;&gt;"",COUNTA(J$7:J39),"")</f>
        <v>23</v>
      </c>
      <c r="B39" s="10" t="s">
        <v>77</v>
      </c>
      <c r="C39" s="11" t="s">
        <v>78</v>
      </c>
      <c r="D39" s="12" t="s">
        <v>15</v>
      </c>
      <c r="E39" s="16">
        <v>1.2527999999999999</v>
      </c>
      <c r="F39" s="11"/>
      <c r="G39" s="14"/>
      <c r="H39" s="11" t="s">
        <v>79</v>
      </c>
      <c r="J39" s="2" t="s">
        <v>12</v>
      </c>
      <c r="Q39" s="8"/>
      <c r="R39" s="19"/>
    </row>
    <row r="40" spans="1:18" customFormat="1" ht="15" x14ac:dyDescent="0.25">
      <c r="A40" s="9">
        <f>IF(J40&lt;&gt;"",COUNTA(J$7:J40),"")</f>
        <v>24</v>
      </c>
      <c r="B40" s="10" t="s">
        <v>80</v>
      </c>
      <c r="C40" s="11" t="s">
        <v>81</v>
      </c>
      <c r="D40" s="12" t="s">
        <v>15</v>
      </c>
      <c r="E40" s="16">
        <v>0.21440000000000001</v>
      </c>
      <c r="F40" s="11"/>
      <c r="G40" s="14"/>
      <c r="H40" s="11" t="s">
        <v>82</v>
      </c>
      <c r="J40" s="2" t="s">
        <v>12</v>
      </c>
      <c r="Q40" s="8"/>
      <c r="R40" s="19"/>
    </row>
    <row r="41" spans="1:18" customFormat="1" ht="15" x14ac:dyDescent="0.25">
      <c r="A41" s="9">
        <f>IF(J41&lt;&gt;"",COUNTA(J$7:J41),"")</f>
        <v>25</v>
      </c>
      <c r="B41" s="10" t="s">
        <v>83</v>
      </c>
      <c r="C41" s="11" t="s">
        <v>84</v>
      </c>
      <c r="D41" s="12" t="s">
        <v>15</v>
      </c>
      <c r="E41" s="16">
        <v>3.5499999999999997E-2</v>
      </c>
      <c r="F41" s="11"/>
      <c r="G41" s="14"/>
      <c r="H41" s="11" t="s">
        <v>85</v>
      </c>
      <c r="J41" s="2" t="s">
        <v>12</v>
      </c>
      <c r="Q41" s="8"/>
      <c r="R41" s="19"/>
    </row>
    <row r="42" spans="1:18" customFormat="1" ht="15" x14ac:dyDescent="0.25">
      <c r="A42" s="9">
        <f>IF(J42&lt;&gt;"",COUNTA(J$7:J42),"")</f>
        <v>26</v>
      </c>
      <c r="B42" s="10" t="s">
        <v>86</v>
      </c>
      <c r="C42" s="11" t="s">
        <v>87</v>
      </c>
      <c r="D42" s="12" t="s">
        <v>15</v>
      </c>
      <c r="E42" s="13">
        <v>0.53400000000000003</v>
      </c>
      <c r="F42" s="11"/>
      <c r="G42" s="14"/>
      <c r="H42" s="11" t="s">
        <v>88</v>
      </c>
      <c r="J42" s="2" t="s">
        <v>12</v>
      </c>
      <c r="Q42" s="8"/>
      <c r="R42" s="19"/>
    </row>
    <row r="43" spans="1:18" customFormat="1" ht="15" x14ac:dyDescent="0.25">
      <c r="A43" s="9">
        <f>IF(J43&lt;&gt;"",COUNTA(J$7:J43),"")</f>
        <v>27</v>
      </c>
      <c r="B43" s="10" t="s">
        <v>89</v>
      </c>
      <c r="C43" s="11" t="s">
        <v>90</v>
      </c>
      <c r="D43" s="12" t="s">
        <v>15</v>
      </c>
      <c r="E43" s="16">
        <v>0.2399</v>
      </c>
      <c r="F43" s="11"/>
      <c r="G43" s="14"/>
      <c r="H43" s="11" t="s">
        <v>91</v>
      </c>
      <c r="J43" s="2" t="s">
        <v>12</v>
      </c>
      <c r="Q43" s="8"/>
      <c r="R43" s="19"/>
    </row>
    <row r="44" spans="1:18" customFormat="1" ht="15" x14ac:dyDescent="0.25">
      <c r="A44" s="9">
        <f>IF(J44&lt;&gt;"",COUNTA(J$7:J44),"")</f>
        <v>28</v>
      </c>
      <c r="B44" s="10" t="s">
        <v>92</v>
      </c>
      <c r="C44" s="11" t="s">
        <v>93</v>
      </c>
      <c r="D44" s="12" t="s">
        <v>15</v>
      </c>
      <c r="E44" s="16">
        <v>0.47360000000000002</v>
      </c>
      <c r="F44" s="11"/>
      <c r="G44" s="14"/>
      <c r="H44" s="11" t="s">
        <v>94</v>
      </c>
      <c r="J44" s="2" t="s">
        <v>12</v>
      </c>
      <c r="Q44" s="8"/>
      <c r="R44" s="19"/>
    </row>
    <row r="45" spans="1:18" customFormat="1" ht="15" x14ac:dyDescent="0.25">
      <c r="A45" s="9">
        <f>IF(J45&lt;&gt;"",COUNTA(J$7:J45),"")</f>
        <v>29</v>
      </c>
      <c r="B45" s="10" t="s">
        <v>95</v>
      </c>
      <c r="C45" s="11" t="s">
        <v>96</v>
      </c>
      <c r="D45" s="12" t="s">
        <v>15</v>
      </c>
      <c r="E45" s="16">
        <v>6.9599999999999995E-2</v>
      </c>
      <c r="F45" s="11"/>
      <c r="G45" s="14"/>
      <c r="H45" s="11" t="s">
        <v>97</v>
      </c>
      <c r="J45" s="2" t="s">
        <v>12</v>
      </c>
      <c r="Q45" s="8"/>
      <c r="R45" s="19"/>
    </row>
    <row r="46" spans="1:18" customFormat="1" ht="15" x14ac:dyDescent="0.25">
      <c r="A46" s="9">
        <f>IF(J46&lt;&gt;"",COUNTA(J$7:J46),"")</f>
        <v>30</v>
      </c>
      <c r="B46" s="10" t="s">
        <v>98</v>
      </c>
      <c r="C46" s="11" t="s">
        <v>99</v>
      </c>
      <c r="D46" s="12" t="s">
        <v>15</v>
      </c>
      <c r="E46" s="13">
        <v>3.0000000000000001E-3</v>
      </c>
      <c r="F46" s="11"/>
      <c r="G46" s="14"/>
      <c r="H46" s="11" t="s">
        <v>100</v>
      </c>
      <c r="J46" s="2" t="s">
        <v>12</v>
      </c>
      <c r="Q46" s="8"/>
      <c r="R46" s="19"/>
    </row>
    <row r="47" spans="1:18" customFormat="1" ht="15" x14ac:dyDescent="0.25">
      <c r="A47" s="9">
        <f>IF(J47&lt;&gt;"",COUNTA(J$7:J47),"")</f>
        <v>31</v>
      </c>
      <c r="B47" s="10" t="s">
        <v>101</v>
      </c>
      <c r="C47" s="11" t="s">
        <v>102</v>
      </c>
      <c r="D47" s="12" t="s">
        <v>15</v>
      </c>
      <c r="E47" s="16">
        <v>3.04E-2</v>
      </c>
      <c r="F47" s="11"/>
      <c r="G47" s="14"/>
      <c r="H47" s="11" t="s">
        <v>103</v>
      </c>
      <c r="J47" s="2" t="s">
        <v>12</v>
      </c>
      <c r="Q47" s="8"/>
      <c r="R47" s="19"/>
    </row>
    <row r="48" spans="1:18" customFormat="1" ht="15" x14ac:dyDescent="0.25">
      <c r="A48" s="9">
        <f>IF(J48&lt;&gt;"",COUNTA(J$7:J48),"")</f>
        <v>32</v>
      </c>
      <c r="B48" s="10" t="s">
        <v>104</v>
      </c>
      <c r="C48" s="11" t="s">
        <v>105</v>
      </c>
      <c r="D48" s="12" t="s">
        <v>15</v>
      </c>
      <c r="E48" s="16">
        <v>3.7000000000000002E-3</v>
      </c>
      <c r="F48" s="11"/>
      <c r="G48" s="14"/>
      <c r="H48" s="11" t="s">
        <v>106</v>
      </c>
      <c r="J48" s="2" t="s">
        <v>12</v>
      </c>
      <c r="Q48" s="8"/>
      <c r="R48" s="19"/>
    </row>
    <row r="49" spans="1:18" customFormat="1" ht="15" x14ac:dyDescent="0.25">
      <c r="A49" s="9">
        <f>IF(J49&lt;&gt;"",COUNTA(J$7:J49),"")</f>
        <v>33</v>
      </c>
      <c r="B49" s="10" t="s">
        <v>107</v>
      </c>
      <c r="C49" s="11" t="s">
        <v>108</v>
      </c>
      <c r="D49" s="12" t="s">
        <v>15</v>
      </c>
      <c r="E49" s="16">
        <v>21.8536</v>
      </c>
      <c r="F49" s="11"/>
      <c r="G49" s="14"/>
      <c r="H49" s="11" t="s">
        <v>109</v>
      </c>
      <c r="J49" s="2" t="s">
        <v>12</v>
      </c>
      <c r="Q49" s="8"/>
      <c r="R49" s="19"/>
    </row>
    <row r="50" spans="1:18" customFormat="1" ht="15" x14ac:dyDescent="0.25">
      <c r="A50" s="9">
        <f>IF(J50&lt;&gt;"",COUNTA(J$7:J50),"")</f>
        <v>34</v>
      </c>
      <c r="B50" s="10" t="s">
        <v>110</v>
      </c>
      <c r="C50" s="11" t="s">
        <v>111</v>
      </c>
      <c r="D50" s="12" t="s">
        <v>15</v>
      </c>
      <c r="E50" s="16">
        <v>0.19869999999999999</v>
      </c>
      <c r="F50" s="11"/>
      <c r="G50" s="14"/>
      <c r="H50" s="11" t="s">
        <v>112</v>
      </c>
      <c r="J50" s="2" t="s">
        <v>12</v>
      </c>
      <c r="Q50" s="8"/>
      <c r="R50" s="19"/>
    </row>
    <row r="51" spans="1:18" customFormat="1" ht="22.5" x14ac:dyDescent="0.25">
      <c r="A51" s="9">
        <f>IF(J51&lt;&gt;"",COUNTA(J$7:J51),"")</f>
        <v>35</v>
      </c>
      <c r="B51" s="10" t="s">
        <v>113</v>
      </c>
      <c r="C51" s="11" t="s">
        <v>114</v>
      </c>
      <c r="D51" s="12" t="s">
        <v>15</v>
      </c>
      <c r="E51" s="16">
        <v>0.19869999999999999</v>
      </c>
      <c r="F51" s="11"/>
      <c r="G51" s="14"/>
      <c r="H51" s="11" t="s">
        <v>112</v>
      </c>
      <c r="J51" s="2" t="s">
        <v>12</v>
      </c>
      <c r="Q51" s="8"/>
      <c r="R51" s="19"/>
    </row>
    <row r="52" spans="1:18" customFormat="1" ht="22.5" x14ac:dyDescent="0.25">
      <c r="A52" s="9">
        <f>IF(J52&lt;&gt;"",COUNTA(J$7:J52),"")</f>
        <v>36</v>
      </c>
      <c r="B52" s="10" t="s">
        <v>115</v>
      </c>
      <c r="C52" s="11" t="s">
        <v>116</v>
      </c>
      <c r="D52" s="12" t="s">
        <v>15</v>
      </c>
      <c r="E52" s="16">
        <v>2.1613000000000002</v>
      </c>
      <c r="F52" s="11"/>
      <c r="G52" s="14"/>
      <c r="H52" s="11" t="s">
        <v>117</v>
      </c>
      <c r="J52" s="2" t="s">
        <v>12</v>
      </c>
      <c r="Q52" s="8"/>
      <c r="R52" s="19"/>
    </row>
    <row r="53" spans="1:18" customFormat="1" ht="22.5" x14ac:dyDescent="0.25">
      <c r="A53" s="9">
        <f>IF(J53&lt;&gt;"",COUNTA(J$7:J53),"")</f>
        <v>37</v>
      </c>
      <c r="B53" s="10" t="s">
        <v>118</v>
      </c>
      <c r="C53" s="11" t="s">
        <v>119</v>
      </c>
      <c r="D53" s="12" t="s">
        <v>15</v>
      </c>
      <c r="E53" s="16">
        <v>4.58E-2</v>
      </c>
      <c r="F53" s="11"/>
      <c r="G53" s="14"/>
      <c r="H53" s="11" t="s">
        <v>120</v>
      </c>
      <c r="J53" s="2" t="s">
        <v>12</v>
      </c>
      <c r="Q53" s="8"/>
      <c r="R53" s="19"/>
    </row>
    <row r="54" spans="1:18" customFormat="1" ht="22.5" x14ac:dyDescent="0.25">
      <c r="A54" s="9">
        <f>IF(J54&lt;&gt;"",COUNTA(J$7:J54),"")</f>
        <v>38</v>
      </c>
      <c r="B54" s="10" t="s">
        <v>121</v>
      </c>
      <c r="C54" s="11" t="s">
        <v>122</v>
      </c>
      <c r="D54" s="12" t="s">
        <v>15</v>
      </c>
      <c r="E54" s="16">
        <v>3.4200000000000001E-2</v>
      </c>
      <c r="F54" s="11"/>
      <c r="G54" s="14"/>
      <c r="H54" s="11" t="s">
        <v>123</v>
      </c>
      <c r="J54" s="2" t="s">
        <v>12</v>
      </c>
      <c r="Q54" s="8"/>
      <c r="R54" s="19"/>
    </row>
    <row r="55" spans="1:18" customFormat="1" ht="22.5" x14ac:dyDescent="0.25">
      <c r="A55" s="9">
        <f>IF(J55&lt;&gt;"",COUNTA(J$7:J55),"")</f>
        <v>39</v>
      </c>
      <c r="B55" s="10" t="s">
        <v>124</v>
      </c>
      <c r="C55" s="11" t="s">
        <v>125</v>
      </c>
      <c r="D55" s="12" t="s">
        <v>15</v>
      </c>
      <c r="E55" s="16">
        <v>6.1199999999999997E-2</v>
      </c>
      <c r="F55" s="11"/>
      <c r="G55" s="14"/>
      <c r="H55" s="11" t="s">
        <v>126</v>
      </c>
      <c r="J55" s="2" t="s">
        <v>12</v>
      </c>
      <c r="Q55" s="8"/>
      <c r="R55" s="19"/>
    </row>
    <row r="56" spans="1:18" customFormat="1" ht="22.5" x14ac:dyDescent="0.25">
      <c r="A56" s="9">
        <f>IF(J56&lt;&gt;"",COUNTA(J$7:J56),"")</f>
        <v>40</v>
      </c>
      <c r="B56" s="10" t="s">
        <v>127</v>
      </c>
      <c r="C56" s="11" t="s">
        <v>128</v>
      </c>
      <c r="D56" s="12" t="s">
        <v>15</v>
      </c>
      <c r="E56" s="16">
        <v>1.9577</v>
      </c>
      <c r="F56" s="11"/>
      <c r="G56" s="14"/>
      <c r="H56" s="11" t="s">
        <v>129</v>
      </c>
      <c r="J56" s="2" t="s">
        <v>12</v>
      </c>
      <c r="Q56" s="8"/>
      <c r="R56" s="19"/>
    </row>
    <row r="57" spans="1:18" customFormat="1" ht="22.5" x14ac:dyDescent="0.25">
      <c r="A57" s="9">
        <f>IF(J57&lt;&gt;"",COUNTA(J$7:J57),"")</f>
        <v>41</v>
      </c>
      <c r="B57" s="10" t="s">
        <v>130</v>
      </c>
      <c r="C57" s="11" t="s">
        <v>131</v>
      </c>
      <c r="D57" s="12" t="s">
        <v>15</v>
      </c>
      <c r="E57" s="16">
        <v>6.2399999999999997E-2</v>
      </c>
      <c r="F57" s="11"/>
      <c r="G57" s="14"/>
      <c r="H57" s="11" t="s">
        <v>132</v>
      </c>
      <c r="J57" s="2" t="s">
        <v>12</v>
      </c>
      <c r="Q57" s="8"/>
      <c r="R57" s="19"/>
    </row>
    <row r="58" spans="1:18" customFormat="1" ht="22.5" x14ac:dyDescent="0.25">
      <c r="A58" s="9">
        <f>IF(J58&lt;&gt;"",COUNTA(J$7:J58),"")</f>
        <v>42</v>
      </c>
      <c r="B58" s="10" t="s">
        <v>133</v>
      </c>
      <c r="C58" s="11" t="s">
        <v>134</v>
      </c>
      <c r="D58" s="12" t="s">
        <v>15</v>
      </c>
      <c r="E58" s="16">
        <v>0.89139999999999997</v>
      </c>
      <c r="F58" s="11"/>
      <c r="G58" s="14"/>
      <c r="H58" s="11" t="s">
        <v>135</v>
      </c>
      <c r="J58" s="2" t="s">
        <v>12</v>
      </c>
      <c r="Q58" s="8"/>
      <c r="R58" s="19"/>
    </row>
    <row r="59" spans="1:18" customFormat="1" ht="22.5" x14ac:dyDescent="0.25">
      <c r="A59" s="9">
        <f>IF(J59&lt;&gt;"",COUNTA(J$7:J59),"")</f>
        <v>43</v>
      </c>
      <c r="B59" s="10" t="s">
        <v>136</v>
      </c>
      <c r="C59" s="11" t="s">
        <v>137</v>
      </c>
      <c r="D59" s="12" t="s">
        <v>15</v>
      </c>
      <c r="E59" s="16">
        <v>0.53139999999999998</v>
      </c>
      <c r="F59" s="11"/>
      <c r="G59" s="14"/>
      <c r="H59" s="11" t="s">
        <v>138</v>
      </c>
      <c r="J59" s="2" t="s">
        <v>12</v>
      </c>
      <c r="Q59" s="8"/>
      <c r="R59" s="19"/>
    </row>
    <row r="60" spans="1:18" customFormat="1" ht="22.5" x14ac:dyDescent="0.25">
      <c r="A60" s="9">
        <f>IF(J60&lt;&gt;"",COUNTA(J$7:J60),"")</f>
        <v>44</v>
      </c>
      <c r="B60" s="10" t="s">
        <v>139</v>
      </c>
      <c r="C60" s="11" t="s">
        <v>140</v>
      </c>
      <c r="D60" s="12" t="s">
        <v>15</v>
      </c>
      <c r="E60" s="16">
        <v>9.4299999999999995E-2</v>
      </c>
      <c r="F60" s="11"/>
      <c r="G60" s="14"/>
      <c r="H60" s="11" t="s">
        <v>141</v>
      </c>
      <c r="J60" s="2" t="s">
        <v>12</v>
      </c>
      <c r="Q60" s="8"/>
      <c r="R60" s="19"/>
    </row>
    <row r="61" spans="1:18" customFormat="1" ht="22.5" x14ac:dyDescent="0.25">
      <c r="A61" s="9">
        <f>IF(J61&lt;&gt;"",COUNTA(J$7:J61),"")</f>
        <v>45</v>
      </c>
      <c r="B61" s="10" t="s">
        <v>142</v>
      </c>
      <c r="C61" s="11" t="s">
        <v>143</v>
      </c>
      <c r="D61" s="12" t="s">
        <v>15</v>
      </c>
      <c r="E61" s="16">
        <v>2.12E-2</v>
      </c>
      <c r="F61" s="11"/>
      <c r="G61" s="14"/>
      <c r="H61" s="11" t="s">
        <v>144</v>
      </c>
      <c r="J61" s="2" t="s">
        <v>12</v>
      </c>
      <c r="Q61" s="8"/>
      <c r="R61" s="19"/>
    </row>
    <row r="62" spans="1:18" customFormat="1" ht="22.5" x14ac:dyDescent="0.25">
      <c r="A62" s="9">
        <f>IF(J62&lt;&gt;"",COUNTA(J$7:J62),"")</f>
        <v>46</v>
      </c>
      <c r="B62" s="10" t="s">
        <v>145</v>
      </c>
      <c r="C62" s="11" t="s">
        <v>146</v>
      </c>
      <c r="D62" s="12" t="s">
        <v>15</v>
      </c>
      <c r="E62" s="16">
        <v>9.74E-2</v>
      </c>
      <c r="F62" s="11"/>
      <c r="G62" s="14"/>
      <c r="H62" s="11" t="s">
        <v>147</v>
      </c>
      <c r="J62" s="2" t="s">
        <v>12</v>
      </c>
      <c r="Q62" s="8"/>
      <c r="R62" s="19"/>
    </row>
    <row r="63" spans="1:18" customFormat="1" ht="22.5" x14ac:dyDescent="0.25">
      <c r="A63" s="9">
        <f>IF(J63&lt;&gt;"",COUNTA(J$7:J63),"")</f>
        <v>47</v>
      </c>
      <c r="B63" s="10" t="s">
        <v>148</v>
      </c>
      <c r="C63" s="11" t="s">
        <v>149</v>
      </c>
      <c r="D63" s="12" t="s">
        <v>15</v>
      </c>
      <c r="E63" s="13">
        <v>0.14699999999999999</v>
      </c>
      <c r="F63" s="11"/>
      <c r="G63" s="14"/>
      <c r="H63" s="11" t="s">
        <v>150</v>
      </c>
      <c r="J63" s="2" t="s">
        <v>12</v>
      </c>
      <c r="Q63" s="8"/>
      <c r="R63" s="19"/>
    </row>
    <row r="64" spans="1:18" customFormat="1" ht="33.75" x14ac:dyDescent="0.25">
      <c r="A64" s="9">
        <f>IF(J64&lt;&gt;"",COUNTA(J$7:J64),"")</f>
        <v>48</v>
      </c>
      <c r="B64" s="10" t="s">
        <v>151</v>
      </c>
      <c r="C64" s="11" t="s">
        <v>152</v>
      </c>
      <c r="D64" s="12" t="s">
        <v>15</v>
      </c>
      <c r="E64" s="16">
        <v>0.13589999999999999</v>
      </c>
      <c r="F64" s="11"/>
      <c r="G64" s="14"/>
      <c r="H64" s="11" t="s">
        <v>153</v>
      </c>
      <c r="J64" s="2" t="s">
        <v>12</v>
      </c>
      <c r="Q64" s="8"/>
      <c r="R64" s="19"/>
    </row>
    <row r="65" spans="1:18" customFormat="1" ht="15" x14ac:dyDescent="0.25">
      <c r="A65" s="9">
        <f>IF(J65&lt;&gt;"",COUNTA(J$7:J65),"")</f>
        <v>49</v>
      </c>
      <c r="B65" s="10" t="s">
        <v>154</v>
      </c>
      <c r="C65" s="11" t="s">
        <v>155</v>
      </c>
      <c r="D65" s="12" t="s">
        <v>15</v>
      </c>
      <c r="E65" s="16">
        <v>2.92E-2</v>
      </c>
      <c r="F65" s="11"/>
      <c r="G65" s="14"/>
      <c r="H65" s="11" t="s">
        <v>156</v>
      </c>
      <c r="J65" s="2" t="s">
        <v>12</v>
      </c>
      <c r="Q65" s="8"/>
      <c r="R65" s="19"/>
    </row>
    <row r="66" spans="1:18" customFormat="1" ht="15" x14ac:dyDescent="0.25">
      <c r="A66" s="9">
        <f>IF(J66&lt;&gt;"",COUNTA(J$7:J66),"")</f>
        <v>50</v>
      </c>
      <c r="B66" s="10" t="s">
        <v>157</v>
      </c>
      <c r="C66" s="11" t="s">
        <v>158</v>
      </c>
      <c r="D66" s="12" t="s">
        <v>15</v>
      </c>
      <c r="E66" s="16">
        <v>6.7799999999999999E-2</v>
      </c>
      <c r="F66" s="11"/>
      <c r="G66" s="14"/>
      <c r="H66" s="11" t="s">
        <v>159</v>
      </c>
      <c r="J66" s="2" t="s">
        <v>12</v>
      </c>
      <c r="Q66" s="8"/>
      <c r="R66" s="19"/>
    </row>
    <row r="67" spans="1:18" customFormat="1" ht="15" x14ac:dyDescent="0.25">
      <c r="A67" s="9">
        <f>IF(J67&lt;&gt;"",COUNTA(J$7:J67),"")</f>
        <v>51</v>
      </c>
      <c r="B67" s="10" t="s">
        <v>160</v>
      </c>
      <c r="C67" s="11" t="s">
        <v>161</v>
      </c>
      <c r="D67" s="12" t="s">
        <v>15</v>
      </c>
      <c r="E67" s="16">
        <v>2.0400000000000001E-2</v>
      </c>
      <c r="F67" s="11"/>
      <c r="G67" s="14"/>
      <c r="H67" s="11" t="s">
        <v>162</v>
      </c>
      <c r="J67" s="2" t="s">
        <v>12</v>
      </c>
      <c r="Q67" s="8"/>
      <c r="R67" s="19"/>
    </row>
    <row r="68" spans="1:18" customFormat="1" ht="15" x14ac:dyDescent="0.25">
      <c r="A68" s="9">
        <f>IF(J68&lt;&gt;"",COUNTA(J$7:J68),"")</f>
        <v>52</v>
      </c>
      <c r="B68" s="10" t="s">
        <v>163</v>
      </c>
      <c r="C68" s="11" t="s">
        <v>164</v>
      </c>
      <c r="D68" s="12" t="s">
        <v>15</v>
      </c>
      <c r="E68" s="16">
        <v>1.8499999999999999E-2</v>
      </c>
      <c r="F68" s="11"/>
      <c r="G68" s="14"/>
      <c r="H68" s="11" t="s">
        <v>165</v>
      </c>
      <c r="J68" s="2" t="s">
        <v>12</v>
      </c>
      <c r="Q68" s="8"/>
      <c r="R68" s="19"/>
    </row>
    <row r="69" spans="1:18" customFormat="1" ht="22.5" x14ac:dyDescent="0.25">
      <c r="A69" s="9">
        <f>IF(J69&lt;&gt;"",COUNTA(J$7:J69),"")</f>
        <v>53</v>
      </c>
      <c r="B69" s="10" t="s">
        <v>166</v>
      </c>
      <c r="C69" s="11" t="s">
        <v>167</v>
      </c>
      <c r="D69" s="12" t="s">
        <v>15</v>
      </c>
      <c r="E69" s="15">
        <v>5.54</v>
      </c>
      <c r="F69" s="11"/>
      <c r="G69" s="14"/>
      <c r="H69" s="11" t="s">
        <v>168</v>
      </c>
      <c r="J69" s="2" t="s">
        <v>12</v>
      </c>
      <c r="Q69" s="8"/>
      <c r="R69" s="19"/>
    </row>
    <row r="70" spans="1:18" customFormat="1" ht="15" x14ac:dyDescent="0.25">
      <c r="A70" s="9">
        <f>IF(J70&lt;&gt;"",COUNTA(J$7:J70),"")</f>
        <v>54</v>
      </c>
      <c r="B70" s="10" t="s">
        <v>169</v>
      </c>
      <c r="C70" s="11" t="s">
        <v>170</v>
      </c>
      <c r="D70" s="12" t="s">
        <v>15</v>
      </c>
      <c r="E70" s="16">
        <v>1.7045999999999999</v>
      </c>
      <c r="F70" s="11"/>
      <c r="G70" s="14"/>
      <c r="H70" s="11" t="s">
        <v>171</v>
      </c>
      <c r="J70" s="2" t="s">
        <v>12</v>
      </c>
      <c r="Q70" s="8"/>
      <c r="R70" s="19"/>
    </row>
    <row r="71" spans="1:18" customFormat="1" ht="15" x14ac:dyDescent="0.25">
      <c r="A71" s="9">
        <f>IF(J71&lt;&gt;"",COUNTA(J$7:J71),"")</f>
        <v>55</v>
      </c>
      <c r="B71" s="10" t="s">
        <v>172</v>
      </c>
      <c r="C71" s="11" t="s">
        <v>173</v>
      </c>
      <c r="D71" s="12" t="s">
        <v>15</v>
      </c>
      <c r="E71" s="16">
        <v>0.13819999999999999</v>
      </c>
      <c r="F71" s="11"/>
      <c r="G71" s="14"/>
      <c r="H71" s="11" t="s">
        <v>174</v>
      </c>
      <c r="J71" s="2" t="s">
        <v>12</v>
      </c>
      <c r="Q71" s="8"/>
      <c r="R71" s="19"/>
    </row>
    <row r="72" spans="1:18" customFormat="1" ht="15" x14ac:dyDescent="0.25">
      <c r="A72" s="9">
        <f>IF(J72&lt;&gt;"",COUNTA(J$7:J72),"")</f>
        <v>56</v>
      </c>
      <c r="B72" s="10" t="s">
        <v>175</v>
      </c>
      <c r="C72" s="11" t="s">
        <v>176</v>
      </c>
      <c r="D72" s="12" t="s">
        <v>15</v>
      </c>
      <c r="E72" s="16">
        <v>0.13819999999999999</v>
      </c>
      <c r="F72" s="11"/>
      <c r="G72" s="14"/>
      <c r="H72" s="11" t="s">
        <v>174</v>
      </c>
      <c r="J72" s="2" t="s">
        <v>12</v>
      </c>
      <c r="Q72" s="8"/>
      <c r="R72" s="19"/>
    </row>
    <row r="73" spans="1:18" customFormat="1" ht="15" x14ac:dyDescent="0.25">
      <c r="A73" s="9">
        <f>IF(J73&lt;&gt;"",COUNTA(J$7:J73),"")</f>
        <v>57</v>
      </c>
      <c r="B73" s="10" t="s">
        <v>177</v>
      </c>
      <c r="C73" s="11" t="s">
        <v>178</v>
      </c>
      <c r="D73" s="12" t="s">
        <v>15</v>
      </c>
      <c r="E73" s="16">
        <v>0.13819999999999999</v>
      </c>
      <c r="F73" s="11"/>
      <c r="G73" s="14"/>
      <c r="H73" s="11" t="s">
        <v>174</v>
      </c>
      <c r="J73" s="2" t="s">
        <v>12</v>
      </c>
      <c r="Q73" s="8"/>
      <c r="R73" s="19"/>
    </row>
    <row r="74" spans="1:18" customFormat="1" ht="15" x14ac:dyDescent="0.25">
      <c r="A74" s="9">
        <f>IF(J74&lt;&gt;"",COUNTA(J$7:J74),"")</f>
        <v>58</v>
      </c>
      <c r="B74" s="10" t="s">
        <v>179</v>
      </c>
      <c r="C74" s="11" t="s">
        <v>180</v>
      </c>
      <c r="D74" s="12" t="s">
        <v>15</v>
      </c>
      <c r="E74" s="16">
        <v>0.88980000000000004</v>
      </c>
      <c r="F74" s="11"/>
      <c r="G74" s="14"/>
      <c r="H74" s="11" t="s">
        <v>181</v>
      </c>
      <c r="J74" s="2" t="s">
        <v>12</v>
      </c>
      <c r="Q74" s="8"/>
      <c r="R74" s="19"/>
    </row>
    <row r="75" spans="1:18" customFormat="1" ht="15" x14ac:dyDescent="0.25">
      <c r="A75" s="9">
        <f>IF(J75&lt;&gt;"",COUNTA(J$7:J75),"")</f>
        <v>59</v>
      </c>
      <c r="B75" s="10" t="s">
        <v>182</v>
      </c>
      <c r="C75" s="11" t="s">
        <v>183</v>
      </c>
      <c r="D75" s="12" t="s">
        <v>15</v>
      </c>
      <c r="E75" s="16">
        <v>0.43619999999999998</v>
      </c>
      <c r="F75" s="11"/>
      <c r="G75" s="14"/>
      <c r="H75" s="11" t="s">
        <v>184</v>
      </c>
      <c r="J75" s="2" t="s">
        <v>12</v>
      </c>
      <c r="Q75" s="8"/>
      <c r="R75" s="19"/>
    </row>
    <row r="76" spans="1:18" customFormat="1" ht="15" x14ac:dyDescent="0.25">
      <c r="A76" s="9">
        <f>IF(J76&lt;&gt;"",COUNTA(J$7:J76),"")</f>
        <v>60</v>
      </c>
      <c r="B76" s="10" t="s">
        <v>185</v>
      </c>
      <c r="C76" s="11" t="s">
        <v>186</v>
      </c>
      <c r="D76" s="12" t="s">
        <v>15</v>
      </c>
      <c r="E76" s="16">
        <v>6.8500000000000005E-2</v>
      </c>
      <c r="F76" s="11"/>
      <c r="G76" s="14"/>
      <c r="H76" s="11" t="s">
        <v>187</v>
      </c>
      <c r="J76" s="2" t="s">
        <v>12</v>
      </c>
      <c r="Q76" s="8"/>
      <c r="R76" s="19"/>
    </row>
    <row r="77" spans="1:18" customFormat="1" ht="15" x14ac:dyDescent="0.25">
      <c r="A77" s="9">
        <f>IF(J77&lt;&gt;"",COUNTA(J$7:J77),"")</f>
        <v>61</v>
      </c>
      <c r="B77" s="10" t="s">
        <v>188</v>
      </c>
      <c r="C77" s="11" t="s">
        <v>189</v>
      </c>
      <c r="D77" s="12" t="s">
        <v>15</v>
      </c>
      <c r="E77" s="16">
        <v>1.6799999999999999E-2</v>
      </c>
      <c r="F77" s="11"/>
      <c r="G77" s="14"/>
      <c r="H77" s="11" t="s">
        <v>190</v>
      </c>
      <c r="J77" s="2" t="s">
        <v>12</v>
      </c>
      <c r="Q77" s="8"/>
      <c r="R77" s="19"/>
    </row>
    <row r="78" spans="1:18" customFormat="1" ht="15" x14ac:dyDescent="0.25">
      <c r="A78" s="9">
        <f>IF(J78&lt;&gt;"",COUNTA(J$7:J78),"")</f>
        <v>62</v>
      </c>
      <c r="B78" s="10" t="s">
        <v>191</v>
      </c>
      <c r="C78" s="11" t="s">
        <v>192</v>
      </c>
      <c r="D78" s="12" t="s">
        <v>15</v>
      </c>
      <c r="E78" s="16">
        <v>9.5799999999999996E-2</v>
      </c>
      <c r="F78" s="11"/>
      <c r="G78" s="14"/>
      <c r="H78" s="11" t="s">
        <v>193</v>
      </c>
      <c r="J78" s="2" t="s">
        <v>12</v>
      </c>
      <c r="Q78" s="8"/>
      <c r="R78" s="19"/>
    </row>
    <row r="79" spans="1:18" customFormat="1" ht="15" x14ac:dyDescent="0.25">
      <c r="A79" s="9">
        <f>IF(J79&lt;&gt;"",COUNTA(J$7:J79),"")</f>
        <v>63</v>
      </c>
      <c r="B79" s="10" t="s">
        <v>194</v>
      </c>
      <c r="C79" s="11" t="s">
        <v>195</v>
      </c>
      <c r="D79" s="12" t="s">
        <v>15</v>
      </c>
      <c r="E79" s="16">
        <v>6.0900000000000003E-2</v>
      </c>
      <c r="F79" s="11"/>
      <c r="G79" s="14"/>
      <c r="H79" s="11" t="s">
        <v>196</v>
      </c>
      <c r="J79" s="2" t="s">
        <v>12</v>
      </c>
      <c r="Q79" s="8"/>
      <c r="R79" s="19"/>
    </row>
    <row r="80" spans="1:18" customFormat="1" ht="15" x14ac:dyDescent="0.25">
      <c r="A80" s="9">
        <f>IF(J80&lt;&gt;"",COUNTA(J$7:J80),"")</f>
        <v>64</v>
      </c>
      <c r="B80" s="10" t="s">
        <v>197</v>
      </c>
      <c r="C80" s="11" t="s">
        <v>198</v>
      </c>
      <c r="D80" s="12" t="s">
        <v>15</v>
      </c>
      <c r="E80" s="13">
        <v>1.0999999999999999E-2</v>
      </c>
      <c r="F80" s="11"/>
      <c r="G80" s="14"/>
      <c r="H80" s="11" t="s">
        <v>199</v>
      </c>
      <c r="J80" s="2" t="s">
        <v>12</v>
      </c>
      <c r="Q80" s="8"/>
      <c r="R80" s="19"/>
    </row>
    <row r="81" spans="1:18" customFormat="1" ht="15" x14ac:dyDescent="0.25">
      <c r="A81" s="9">
        <f>IF(J81&lt;&gt;"",COUNTA(J$7:J81),"")</f>
        <v>65</v>
      </c>
      <c r="B81" s="10" t="s">
        <v>200</v>
      </c>
      <c r="C81" s="11" t="s">
        <v>201</v>
      </c>
      <c r="D81" s="12" t="s">
        <v>15</v>
      </c>
      <c r="E81" s="16">
        <v>3.2899999999999999E-2</v>
      </c>
      <c r="F81" s="11"/>
      <c r="G81" s="14"/>
      <c r="H81" s="11" t="s">
        <v>202</v>
      </c>
      <c r="J81" s="2" t="s">
        <v>12</v>
      </c>
      <c r="Q81" s="8"/>
      <c r="R81" s="19"/>
    </row>
    <row r="82" spans="1:18" customFormat="1" ht="15" x14ac:dyDescent="0.25">
      <c r="A82" s="9">
        <f>IF(J82&lt;&gt;"",COUNTA(J$7:J82),"")</f>
        <v>66</v>
      </c>
      <c r="B82" s="10" t="s">
        <v>203</v>
      </c>
      <c r="C82" s="11" t="s">
        <v>204</v>
      </c>
      <c r="D82" s="12" t="s">
        <v>15</v>
      </c>
      <c r="E82" s="16">
        <v>3.9100000000000003E-2</v>
      </c>
      <c r="F82" s="11"/>
      <c r="G82" s="14"/>
      <c r="H82" s="11" t="s">
        <v>205</v>
      </c>
      <c r="J82" s="2" t="s">
        <v>12</v>
      </c>
      <c r="Q82" s="8"/>
      <c r="R82" s="19"/>
    </row>
    <row r="83" spans="1:18" customFormat="1" ht="15" x14ac:dyDescent="0.25">
      <c r="A83" s="9">
        <f>IF(J83&lt;&gt;"",COUNTA(J$7:J83),"")</f>
        <v>67</v>
      </c>
      <c r="B83" s="10" t="s">
        <v>206</v>
      </c>
      <c r="C83" s="11" t="s">
        <v>207</v>
      </c>
      <c r="D83" s="12" t="s">
        <v>15</v>
      </c>
      <c r="E83" s="16">
        <v>2.8500000000000001E-2</v>
      </c>
      <c r="F83" s="11"/>
      <c r="G83" s="14"/>
      <c r="H83" s="11" t="s">
        <v>208</v>
      </c>
      <c r="J83" s="2" t="s">
        <v>12</v>
      </c>
      <c r="Q83" s="8"/>
      <c r="R83" s="19"/>
    </row>
    <row r="84" spans="1:18" customFormat="1" ht="15" x14ac:dyDescent="0.25">
      <c r="A84" s="9">
        <f>IF(J84&lt;&gt;"",COUNTA(J$7:J84),"")</f>
        <v>68</v>
      </c>
      <c r="B84" s="10" t="s">
        <v>209</v>
      </c>
      <c r="C84" s="11" t="s">
        <v>210</v>
      </c>
      <c r="D84" s="12" t="s">
        <v>15</v>
      </c>
      <c r="E84" s="16">
        <v>8.8999999999999999E-3</v>
      </c>
      <c r="F84" s="11"/>
      <c r="G84" s="14"/>
      <c r="H84" s="11" t="s">
        <v>211</v>
      </c>
      <c r="J84" s="2" t="s">
        <v>12</v>
      </c>
      <c r="Q84" s="8"/>
      <c r="R84" s="19"/>
    </row>
    <row r="85" spans="1:18" customFormat="1" ht="15" x14ac:dyDescent="0.25">
      <c r="A85" s="9">
        <f>IF(J85&lt;&gt;"",COUNTA(J$7:J85),"")</f>
        <v>69</v>
      </c>
      <c r="B85" s="10" t="s">
        <v>212</v>
      </c>
      <c r="C85" s="11" t="s">
        <v>213</v>
      </c>
      <c r="D85" s="12" t="s">
        <v>15</v>
      </c>
      <c r="E85" s="13">
        <v>0.19900000000000001</v>
      </c>
      <c r="F85" s="11"/>
      <c r="G85" s="14"/>
      <c r="H85" s="11" t="s">
        <v>214</v>
      </c>
      <c r="J85" s="2" t="s">
        <v>12</v>
      </c>
      <c r="Q85" s="8"/>
      <c r="R85" s="19"/>
    </row>
    <row r="86" spans="1:18" customFormat="1" ht="15" x14ac:dyDescent="0.25">
      <c r="A86" s="9">
        <f>IF(J86&lt;&gt;"",COUNTA(J$7:J86),"")</f>
        <v>70</v>
      </c>
      <c r="B86" s="10" t="s">
        <v>215</v>
      </c>
      <c r="C86" s="11" t="s">
        <v>216</v>
      </c>
      <c r="D86" s="12" t="s">
        <v>15</v>
      </c>
      <c r="E86" s="16">
        <v>6.6500000000000004E-2</v>
      </c>
      <c r="F86" s="11"/>
      <c r="G86" s="14"/>
      <c r="H86" s="11" t="s">
        <v>217</v>
      </c>
      <c r="J86" s="2" t="s">
        <v>12</v>
      </c>
      <c r="Q86" s="8"/>
      <c r="R86" s="19"/>
    </row>
    <row r="87" spans="1:18" customFormat="1" ht="15" x14ac:dyDescent="0.25">
      <c r="A87" s="9">
        <f>IF(J87&lt;&gt;"",COUNTA(J$7:J87),"")</f>
        <v>71</v>
      </c>
      <c r="B87" s="10" t="s">
        <v>218</v>
      </c>
      <c r="C87" s="11" t="s">
        <v>219</v>
      </c>
      <c r="D87" s="12" t="s">
        <v>15</v>
      </c>
      <c r="E87" s="13">
        <v>1.073</v>
      </c>
      <c r="F87" s="11"/>
      <c r="G87" s="14"/>
      <c r="H87" s="11" t="s">
        <v>220</v>
      </c>
      <c r="J87" s="2" t="s">
        <v>12</v>
      </c>
      <c r="Q87" s="8"/>
      <c r="R87" s="19"/>
    </row>
    <row r="88" spans="1:18" customFormat="1" ht="15" x14ac:dyDescent="0.25">
      <c r="A88" s="9">
        <f>IF(J88&lt;&gt;"",COUNTA(J$7:J88),"")</f>
        <v>72</v>
      </c>
      <c r="B88" s="10" t="s">
        <v>221</v>
      </c>
      <c r="C88" s="11" t="s">
        <v>222</v>
      </c>
      <c r="D88" s="12" t="s">
        <v>15</v>
      </c>
      <c r="E88" s="16">
        <v>1.9099999999999999E-2</v>
      </c>
      <c r="F88" s="11"/>
      <c r="G88" s="14"/>
      <c r="H88" s="11" t="s">
        <v>223</v>
      </c>
      <c r="J88" s="2" t="s">
        <v>12</v>
      </c>
      <c r="Q88" s="8"/>
      <c r="R88" s="19"/>
    </row>
    <row r="89" spans="1:18" customFormat="1" ht="15" x14ac:dyDescent="0.25">
      <c r="A89" s="9">
        <f>IF(J89&lt;&gt;"",COUNTA(J$7:J89),"")</f>
        <v>73</v>
      </c>
      <c r="B89" s="10" t="s">
        <v>224</v>
      </c>
      <c r="C89" s="11" t="s">
        <v>225</v>
      </c>
      <c r="D89" s="12" t="s">
        <v>15</v>
      </c>
      <c r="E89" s="16">
        <v>1.7100000000000001E-2</v>
      </c>
      <c r="F89" s="11"/>
      <c r="G89" s="14"/>
      <c r="H89" s="11" t="s">
        <v>226</v>
      </c>
      <c r="J89" s="2" t="s">
        <v>12</v>
      </c>
      <c r="Q89" s="8"/>
      <c r="R89" s="19"/>
    </row>
    <row r="90" spans="1:18" customFormat="1" ht="15" x14ac:dyDescent="0.25">
      <c r="A90" s="9">
        <f>IF(J90&lt;&gt;"",COUNTA(J$7:J90),"")</f>
        <v>74</v>
      </c>
      <c r="B90" s="10" t="s">
        <v>227</v>
      </c>
      <c r="C90" s="11" t="s">
        <v>228</v>
      </c>
      <c r="D90" s="12" t="s">
        <v>15</v>
      </c>
      <c r="E90" s="16">
        <v>0.29830000000000001</v>
      </c>
      <c r="F90" s="11"/>
      <c r="G90" s="14"/>
      <c r="H90" s="11" t="s">
        <v>229</v>
      </c>
      <c r="J90" s="2" t="s">
        <v>12</v>
      </c>
      <c r="Q90" s="8"/>
      <c r="R90" s="19"/>
    </row>
    <row r="91" spans="1:18" customFormat="1" ht="15" x14ac:dyDescent="0.25">
      <c r="A91" s="9">
        <f>IF(J91&lt;&gt;"",COUNTA(J$7:J91),"")</f>
        <v>75</v>
      </c>
      <c r="B91" s="10" t="s">
        <v>230</v>
      </c>
      <c r="C91" s="11" t="s">
        <v>231</v>
      </c>
      <c r="D91" s="12" t="s">
        <v>15</v>
      </c>
      <c r="E91" s="16">
        <v>5.9400000000000001E-2</v>
      </c>
      <c r="F91" s="11"/>
      <c r="G91" s="14"/>
      <c r="H91" s="11" t="s">
        <v>232</v>
      </c>
      <c r="J91" s="2" t="s">
        <v>12</v>
      </c>
      <c r="Q91" s="8"/>
      <c r="R91" s="19"/>
    </row>
    <row r="92" spans="1:18" customFormat="1" ht="33.75" x14ac:dyDescent="0.25">
      <c r="A92" s="9">
        <f>IF(J92&lt;&gt;"",COUNTA(J$7:J92),"")</f>
        <v>76</v>
      </c>
      <c r="B92" s="10" t="s">
        <v>233</v>
      </c>
      <c r="C92" s="11" t="s">
        <v>234</v>
      </c>
      <c r="D92" s="12" t="s">
        <v>235</v>
      </c>
      <c r="E92" s="16">
        <v>0.77329999999999999</v>
      </c>
      <c r="F92" s="11"/>
      <c r="G92" s="14"/>
      <c r="H92" s="11" t="s">
        <v>236</v>
      </c>
      <c r="J92" s="2" t="s">
        <v>12</v>
      </c>
      <c r="Q92" s="8"/>
      <c r="R92" s="19"/>
    </row>
    <row r="93" spans="1:18" customFormat="1" ht="22.5" x14ac:dyDescent="0.25">
      <c r="A93" s="9">
        <f>IF(J93&lt;&gt;"",COUNTA(J$7:J93),"")</f>
        <v>77</v>
      </c>
      <c r="B93" s="10" t="s">
        <v>237</v>
      </c>
      <c r="C93" s="11" t="s">
        <v>238</v>
      </c>
      <c r="D93" s="12" t="s">
        <v>15</v>
      </c>
      <c r="E93" s="13">
        <v>0.19800000000000001</v>
      </c>
      <c r="F93" s="11"/>
      <c r="G93" s="14"/>
      <c r="H93" s="11" t="s">
        <v>239</v>
      </c>
      <c r="J93" s="2" t="s">
        <v>12</v>
      </c>
      <c r="Q93" s="8"/>
      <c r="R93" s="19"/>
    </row>
    <row r="94" spans="1:18" customFormat="1" ht="15" x14ac:dyDescent="0.25">
      <c r="A94" s="31" t="s">
        <v>240</v>
      </c>
      <c r="B94" s="31"/>
      <c r="C94" s="31"/>
      <c r="D94" s="31"/>
      <c r="E94" s="31"/>
      <c r="F94" s="31"/>
      <c r="G94" s="31"/>
      <c r="H94" s="31"/>
      <c r="Q94" s="8"/>
      <c r="R94" s="19" t="s">
        <v>240</v>
      </c>
    </row>
    <row r="95" spans="1:18" customFormat="1" ht="15" x14ac:dyDescent="0.25">
      <c r="A95" s="9">
        <f>IF(J95&lt;&gt;"",COUNTA(J$7:J95),"")</f>
        <v>78</v>
      </c>
      <c r="B95" s="10" t="s">
        <v>241</v>
      </c>
      <c r="C95" s="11" t="s">
        <v>35</v>
      </c>
      <c r="D95" s="12" t="s">
        <v>21</v>
      </c>
      <c r="E95" s="16">
        <v>0.1048</v>
      </c>
      <c r="F95" s="11"/>
      <c r="G95" s="14"/>
      <c r="H95" s="11" t="s">
        <v>242</v>
      </c>
      <c r="J95" s="2" t="s">
        <v>12</v>
      </c>
      <c r="Q95" s="8"/>
      <c r="R95" s="19"/>
    </row>
    <row r="96" spans="1:18" customFormat="1" ht="15" x14ac:dyDescent="0.25">
      <c r="A96" s="9">
        <f>IF(J96&lt;&gt;"",COUNTA(J$7:J96),"")</f>
        <v>79</v>
      </c>
      <c r="B96" s="10" t="s">
        <v>243</v>
      </c>
      <c r="C96" s="11" t="s">
        <v>38</v>
      </c>
      <c r="D96" s="12" t="s">
        <v>25</v>
      </c>
      <c r="E96" s="16">
        <v>10.6896</v>
      </c>
      <c r="F96" s="11"/>
      <c r="G96" s="14"/>
      <c r="H96" s="11" t="s">
        <v>29</v>
      </c>
      <c r="J96" s="2" t="s">
        <v>12</v>
      </c>
      <c r="Q96" s="8"/>
      <c r="R96" s="19"/>
    </row>
    <row r="97" spans="1:18" customFormat="1" ht="22.5" x14ac:dyDescent="0.25">
      <c r="A97" s="9">
        <f>IF(J97&lt;&gt;"",COUNTA(J$7:J97),"")</f>
        <v>80</v>
      </c>
      <c r="B97" s="10" t="s">
        <v>244</v>
      </c>
      <c r="C97" s="11" t="s">
        <v>245</v>
      </c>
      <c r="D97" s="12" t="s">
        <v>21</v>
      </c>
      <c r="E97" s="16">
        <v>0.76839999999999997</v>
      </c>
      <c r="F97" s="11"/>
      <c r="G97" s="14"/>
      <c r="H97" s="11" t="s">
        <v>246</v>
      </c>
      <c r="J97" s="2" t="s">
        <v>12</v>
      </c>
      <c r="Q97" s="8"/>
      <c r="R97" s="19"/>
    </row>
    <row r="98" spans="1:18" customFormat="1" ht="15" x14ac:dyDescent="0.25">
      <c r="A98" s="9">
        <f>IF(J98&lt;&gt;"",COUNTA(J$7:J98),"")</f>
        <v>81</v>
      </c>
      <c r="B98" s="10" t="s">
        <v>247</v>
      </c>
      <c r="C98" s="11" t="s">
        <v>45</v>
      </c>
      <c r="D98" s="12" t="s">
        <v>46</v>
      </c>
      <c r="E98" s="16">
        <v>21.8994</v>
      </c>
      <c r="F98" s="11"/>
      <c r="G98" s="14"/>
      <c r="H98" s="11" t="s">
        <v>29</v>
      </c>
      <c r="J98" s="2" t="s">
        <v>12</v>
      </c>
      <c r="Q98" s="8"/>
      <c r="R98" s="19"/>
    </row>
    <row r="99" spans="1:18" customFormat="1" ht="22.5" x14ac:dyDescent="0.25">
      <c r="A99" s="9">
        <f>IF(J99&lt;&gt;"",COUNTA(J$7:J99),"")</f>
        <v>82</v>
      </c>
      <c r="B99" s="10" t="s">
        <v>248</v>
      </c>
      <c r="C99" s="11" t="s">
        <v>49</v>
      </c>
      <c r="D99" s="12" t="s">
        <v>25</v>
      </c>
      <c r="E99" s="16">
        <v>77.992599999999996</v>
      </c>
      <c r="F99" s="11"/>
      <c r="G99" s="14"/>
      <c r="H99" s="11" t="s">
        <v>29</v>
      </c>
      <c r="J99" s="2" t="s">
        <v>12</v>
      </c>
      <c r="Q99" s="8"/>
      <c r="R99" s="19"/>
    </row>
    <row r="100" spans="1:18" customFormat="1" ht="15" x14ac:dyDescent="0.25">
      <c r="A100" s="9">
        <f>IF(J100&lt;&gt;"",COUNTA(J$7:J100),"")</f>
        <v>83</v>
      </c>
      <c r="B100" s="10" t="s">
        <v>249</v>
      </c>
      <c r="C100" s="11" t="s">
        <v>250</v>
      </c>
      <c r="D100" s="12" t="s">
        <v>15</v>
      </c>
      <c r="E100" s="16">
        <v>1.5518000000000001</v>
      </c>
      <c r="F100" s="11"/>
      <c r="G100" s="14"/>
      <c r="H100" s="11" t="s">
        <v>251</v>
      </c>
      <c r="J100" s="2" t="s">
        <v>12</v>
      </c>
      <c r="Q100" s="8"/>
      <c r="R100" s="19"/>
    </row>
    <row r="101" spans="1:18" customFormat="1" ht="15" x14ac:dyDescent="0.25">
      <c r="A101" s="9">
        <f>IF(J101&lt;&gt;"",COUNTA(J$7:J101),"")</f>
        <v>84</v>
      </c>
      <c r="B101" s="10" t="s">
        <v>252</v>
      </c>
      <c r="C101" s="11" t="s">
        <v>253</v>
      </c>
      <c r="D101" s="12" t="s">
        <v>15</v>
      </c>
      <c r="E101" s="16">
        <v>1.5185</v>
      </c>
      <c r="F101" s="11"/>
      <c r="G101" s="14"/>
      <c r="H101" s="11" t="s">
        <v>254</v>
      </c>
      <c r="J101" s="2" t="s">
        <v>12</v>
      </c>
      <c r="Q101" s="8"/>
      <c r="R101" s="19"/>
    </row>
    <row r="102" spans="1:18" customFormat="1" ht="15" x14ac:dyDescent="0.25">
      <c r="A102" s="9">
        <f>IF(J102&lt;&gt;"",COUNTA(J$7:J102),"")</f>
        <v>85</v>
      </c>
      <c r="B102" s="10" t="s">
        <v>255</v>
      </c>
      <c r="C102" s="11" t="s">
        <v>256</v>
      </c>
      <c r="D102" s="12" t="s">
        <v>15</v>
      </c>
      <c r="E102" s="13">
        <v>0.748</v>
      </c>
      <c r="F102" s="11"/>
      <c r="G102" s="14"/>
      <c r="H102" s="11" t="s">
        <v>257</v>
      </c>
      <c r="J102" s="2" t="s">
        <v>12</v>
      </c>
      <c r="Q102" s="8"/>
      <c r="R102" s="19"/>
    </row>
    <row r="103" spans="1:18" customFormat="1" ht="22.5" x14ac:dyDescent="0.25">
      <c r="A103" s="9">
        <f>IF(J103&lt;&gt;"",COUNTA(J$7:J103),"")</f>
        <v>86</v>
      </c>
      <c r="B103" s="10" t="s">
        <v>258</v>
      </c>
      <c r="C103" s="11" t="s">
        <v>259</v>
      </c>
      <c r="D103" s="12" t="s">
        <v>15</v>
      </c>
      <c r="E103" s="16">
        <v>0.61060000000000003</v>
      </c>
      <c r="F103" s="11"/>
      <c r="G103" s="14"/>
      <c r="H103" s="11" t="s">
        <v>260</v>
      </c>
      <c r="J103" s="2" t="s">
        <v>12</v>
      </c>
      <c r="Q103" s="8"/>
      <c r="R103" s="19"/>
    </row>
    <row r="104" spans="1:18" customFormat="1" ht="15" x14ac:dyDescent="0.25">
      <c r="A104" s="31" t="s">
        <v>261</v>
      </c>
      <c r="B104" s="31"/>
      <c r="C104" s="31"/>
      <c r="D104" s="31"/>
      <c r="E104" s="31"/>
      <c r="F104" s="31"/>
      <c r="G104" s="31"/>
      <c r="H104" s="31"/>
      <c r="Q104" s="8"/>
      <c r="R104" s="19" t="s">
        <v>261</v>
      </c>
    </row>
    <row r="105" spans="1:18" customFormat="1" ht="15" x14ac:dyDescent="0.25">
      <c r="A105" s="9">
        <f>IF(J105&lt;&gt;"",COUNTA(J$7:J105),"")</f>
        <v>87</v>
      </c>
      <c r="B105" s="10" t="s">
        <v>262</v>
      </c>
      <c r="C105" s="11" t="s">
        <v>35</v>
      </c>
      <c r="D105" s="12" t="s">
        <v>21</v>
      </c>
      <c r="E105" s="16">
        <v>3.2000000000000002E-3</v>
      </c>
      <c r="F105" s="11"/>
      <c r="G105" s="14"/>
      <c r="H105" s="11" t="s">
        <v>263</v>
      </c>
      <c r="J105" s="2" t="s">
        <v>12</v>
      </c>
      <c r="Q105" s="8"/>
      <c r="R105" s="19"/>
    </row>
    <row r="106" spans="1:18" customFormat="1" ht="15" x14ac:dyDescent="0.25">
      <c r="A106" s="9">
        <f>IF(J106&lt;&gt;"",COUNTA(J$7:J106),"")</f>
        <v>88</v>
      </c>
      <c r="B106" s="10" t="s">
        <v>264</v>
      </c>
      <c r="C106" s="11" t="s">
        <v>38</v>
      </c>
      <c r="D106" s="12" t="s">
        <v>25</v>
      </c>
      <c r="E106" s="16">
        <v>0.32640000000000002</v>
      </c>
      <c r="F106" s="11"/>
      <c r="G106" s="14"/>
      <c r="H106" s="11" t="s">
        <v>29</v>
      </c>
      <c r="J106" s="2" t="s">
        <v>12</v>
      </c>
      <c r="Q106" s="8"/>
      <c r="R106" s="19"/>
    </row>
    <row r="107" spans="1:18" customFormat="1" ht="22.5" x14ac:dyDescent="0.25">
      <c r="A107" s="9">
        <f>IF(J107&lt;&gt;"",COUNTA(J$7:J107),"")</f>
        <v>89</v>
      </c>
      <c r="B107" s="10" t="s">
        <v>265</v>
      </c>
      <c r="C107" s="11" t="s">
        <v>266</v>
      </c>
      <c r="D107" s="12" t="s">
        <v>21</v>
      </c>
      <c r="E107" s="16">
        <v>1.0800000000000001E-2</v>
      </c>
      <c r="F107" s="11"/>
      <c r="G107" s="14"/>
      <c r="H107" s="11" t="s">
        <v>267</v>
      </c>
      <c r="J107" s="2" t="s">
        <v>12</v>
      </c>
      <c r="Q107" s="8"/>
      <c r="R107" s="19"/>
    </row>
    <row r="108" spans="1:18" customFormat="1" ht="15" x14ac:dyDescent="0.25">
      <c r="A108" s="9">
        <f>IF(J108&lt;&gt;"",COUNTA(J$7:J108),"")</f>
        <v>90</v>
      </c>
      <c r="B108" s="10" t="s">
        <v>268</v>
      </c>
      <c r="C108" s="11" t="s">
        <v>45</v>
      </c>
      <c r="D108" s="12" t="s">
        <v>46</v>
      </c>
      <c r="E108" s="16">
        <v>0.53459999999999996</v>
      </c>
      <c r="F108" s="11"/>
      <c r="G108" s="14"/>
      <c r="H108" s="11" t="s">
        <v>29</v>
      </c>
      <c r="J108" s="2" t="s">
        <v>12</v>
      </c>
      <c r="Q108" s="8"/>
      <c r="R108" s="19"/>
    </row>
    <row r="109" spans="1:18" customFormat="1" ht="22.5" x14ac:dyDescent="0.25">
      <c r="A109" s="9">
        <f>IF(J109&lt;&gt;"",COUNTA(J$7:J109),"")</f>
        <v>91</v>
      </c>
      <c r="B109" s="10" t="s">
        <v>269</v>
      </c>
      <c r="C109" s="11" t="s">
        <v>49</v>
      </c>
      <c r="D109" s="12" t="s">
        <v>25</v>
      </c>
      <c r="E109" s="16">
        <v>1.0962000000000001</v>
      </c>
      <c r="F109" s="11"/>
      <c r="G109" s="14"/>
      <c r="H109" s="11" t="s">
        <v>29</v>
      </c>
      <c r="J109" s="2" t="s">
        <v>12</v>
      </c>
      <c r="Q109" s="8"/>
      <c r="R109" s="19"/>
    </row>
    <row r="110" spans="1:18" customFormat="1" ht="15" x14ac:dyDescent="0.25">
      <c r="A110" s="9">
        <f>IF(J110&lt;&gt;"",COUNTA(J$7:J110),"")</f>
        <v>92</v>
      </c>
      <c r="B110" s="10" t="s">
        <v>270</v>
      </c>
      <c r="C110" s="11" t="s">
        <v>271</v>
      </c>
      <c r="D110" s="12" t="s">
        <v>15</v>
      </c>
      <c r="E110" s="13">
        <v>3.1E-2</v>
      </c>
      <c r="F110" s="11"/>
      <c r="G110" s="14"/>
      <c r="H110" s="11" t="s">
        <v>272</v>
      </c>
      <c r="J110" s="2" t="s">
        <v>12</v>
      </c>
      <c r="Q110" s="8"/>
      <c r="R110" s="19"/>
    </row>
    <row r="111" spans="1:18" customFormat="1" ht="15" x14ac:dyDescent="0.25">
      <c r="A111" s="9">
        <f>IF(J111&lt;&gt;"",COUNTA(J$7:J111),"")</f>
        <v>93</v>
      </c>
      <c r="B111" s="10" t="s">
        <v>273</v>
      </c>
      <c r="C111" s="11" t="s">
        <v>274</v>
      </c>
      <c r="D111" s="12" t="s">
        <v>15</v>
      </c>
      <c r="E111" s="16">
        <v>3.04E-2</v>
      </c>
      <c r="F111" s="11"/>
      <c r="G111" s="14"/>
      <c r="H111" s="11" t="s">
        <v>275</v>
      </c>
      <c r="J111" s="2" t="s">
        <v>12</v>
      </c>
      <c r="Q111" s="8"/>
      <c r="R111" s="19"/>
    </row>
    <row r="112" spans="1:18" customFormat="1" ht="15" x14ac:dyDescent="0.25">
      <c r="A112" s="9">
        <f>IF(J112&lt;&gt;"",COUNTA(J$7:J112),"")</f>
        <v>94</v>
      </c>
      <c r="B112" s="10" t="s">
        <v>276</v>
      </c>
      <c r="C112" s="11" t="s">
        <v>277</v>
      </c>
      <c r="D112" s="12" t="s">
        <v>15</v>
      </c>
      <c r="E112" s="16">
        <v>5.0599999999999999E-2</v>
      </c>
      <c r="F112" s="11"/>
      <c r="G112" s="14"/>
      <c r="H112" s="11" t="s">
        <v>278</v>
      </c>
      <c r="J112" s="2" t="s">
        <v>12</v>
      </c>
      <c r="Q112" s="8"/>
      <c r="R112" s="19"/>
    </row>
    <row r="113" spans="1:18" customFormat="1" ht="22.5" x14ac:dyDescent="0.25">
      <c r="A113" s="9">
        <f>IF(J113&lt;&gt;"",COUNTA(J$7:J113),"")</f>
        <v>95</v>
      </c>
      <c r="B113" s="10" t="s">
        <v>279</v>
      </c>
      <c r="C113" s="11" t="s">
        <v>280</v>
      </c>
      <c r="D113" s="12" t="s">
        <v>15</v>
      </c>
      <c r="E113" s="16">
        <v>2.29E-2</v>
      </c>
      <c r="F113" s="11"/>
      <c r="G113" s="14"/>
      <c r="H113" s="11" t="s">
        <v>281</v>
      </c>
      <c r="J113" s="2" t="s">
        <v>12</v>
      </c>
      <c r="Q113" s="8"/>
      <c r="R113" s="19"/>
    </row>
    <row r="114" spans="1:18" customFormat="1" ht="15" x14ac:dyDescent="0.25">
      <c r="A114" s="31" t="s">
        <v>282</v>
      </c>
      <c r="B114" s="31"/>
      <c r="C114" s="31"/>
      <c r="D114" s="31"/>
      <c r="E114" s="31"/>
      <c r="F114" s="31"/>
      <c r="G114" s="31"/>
      <c r="H114" s="31"/>
      <c r="Q114" s="8"/>
      <c r="R114" s="19" t="s">
        <v>282</v>
      </c>
    </row>
    <row r="115" spans="1:18" customFormat="1" ht="15" x14ac:dyDescent="0.25">
      <c r="A115" s="9">
        <f>IF(J115&lt;&gt;"",COUNTA(J$7:J115),"")</f>
        <v>96</v>
      </c>
      <c r="B115" s="10" t="s">
        <v>283</v>
      </c>
      <c r="C115" s="11" t="s">
        <v>35</v>
      </c>
      <c r="D115" s="12" t="s">
        <v>21</v>
      </c>
      <c r="E115" s="16">
        <v>5.7599999999999998E-2</v>
      </c>
      <c r="F115" s="11"/>
      <c r="G115" s="14"/>
      <c r="H115" s="11" t="s">
        <v>284</v>
      </c>
      <c r="J115" s="2" t="s">
        <v>12</v>
      </c>
      <c r="Q115" s="8"/>
      <c r="R115" s="19"/>
    </row>
    <row r="116" spans="1:18" customFormat="1" ht="15" x14ac:dyDescent="0.25">
      <c r="A116" s="9">
        <f>IF(J116&lt;&gt;"",COUNTA(J$7:J116),"")</f>
        <v>97</v>
      </c>
      <c r="B116" s="10" t="s">
        <v>285</v>
      </c>
      <c r="C116" s="11" t="s">
        <v>38</v>
      </c>
      <c r="D116" s="12" t="s">
        <v>25</v>
      </c>
      <c r="E116" s="16">
        <v>5.8752000000000004</v>
      </c>
      <c r="F116" s="11"/>
      <c r="G116" s="14"/>
      <c r="H116" s="11" t="s">
        <v>29</v>
      </c>
      <c r="J116" s="2" t="s">
        <v>12</v>
      </c>
      <c r="Q116" s="8"/>
      <c r="R116" s="19"/>
    </row>
    <row r="117" spans="1:18" customFormat="1" ht="22.5" x14ac:dyDescent="0.25">
      <c r="A117" s="9">
        <f>IF(J117&lt;&gt;"",COUNTA(J$7:J117),"")</f>
        <v>98</v>
      </c>
      <c r="B117" s="10" t="s">
        <v>286</v>
      </c>
      <c r="C117" s="11" t="s">
        <v>245</v>
      </c>
      <c r="D117" s="12" t="s">
        <v>21</v>
      </c>
      <c r="E117" s="16">
        <v>0.32279999999999998</v>
      </c>
      <c r="F117" s="11"/>
      <c r="G117" s="14"/>
      <c r="H117" s="11" t="s">
        <v>287</v>
      </c>
      <c r="J117" s="2" t="s">
        <v>12</v>
      </c>
      <c r="Q117" s="8"/>
      <c r="R117" s="19"/>
    </row>
    <row r="118" spans="1:18" customFormat="1" ht="15" x14ac:dyDescent="0.25">
      <c r="A118" s="9">
        <f>IF(J118&lt;&gt;"",COUNTA(J$7:J118),"")</f>
        <v>99</v>
      </c>
      <c r="B118" s="10" t="s">
        <v>288</v>
      </c>
      <c r="C118" s="11" t="s">
        <v>45</v>
      </c>
      <c r="D118" s="12" t="s">
        <v>46</v>
      </c>
      <c r="E118" s="16">
        <v>9.1997999999999998</v>
      </c>
      <c r="F118" s="11"/>
      <c r="G118" s="14"/>
      <c r="H118" s="11" t="s">
        <v>29</v>
      </c>
      <c r="J118" s="2" t="s">
        <v>12</v>
      </c>
      <c r="Q118" s="8"/>
      <c r="R118" s="19"/>
    </row>
    <row r="119" spans="1:18" customFormat="1" ht="22.5" x14ac:dyDescent="0.25">
      <c r="A119" s="9">
        <f>IF(J119&lt;&gt;"",COUNTA(J$7:J119),"")</f>
        <v>100</v>
      </c>
      <c r="B119" s="10" t="s">
        <v>289</v>
      </c>
      <c r="C119" s="11" t="s">
        <v>49</v>
      </c>
      <c r="D119" s="12" t="s">
        <v>25</v>
      </c>
      <c r="E119" s="16">
        <v>32.764200000000002</v>
      </c>
      <c r="F119" s="11"/>
      <c r="G119" s="14"/>
      <c r="H119" s="11" t="s">
        <v>29</v>
      </c>
      <c r="J119" s="2" t="s">
        <v>12</v>
      </c>
      <c r="Q119" s="8"/>
      <c r="R119" s="19"/>
    </row>
    <row r="120" spans="1:18" customFormat="1" ht="15" x14ac:dyDescent="0.25">
      <c r="A120" s="9">
        <f>IF(J120&lt;&gt;"",COUNTA(J$7:J120),"")</f>
        <v>101</v>
      </c>
      <c r="B120" s="10" t="s">
        <v>290</v>
      </c>
      <c r="C120" s="11" t="s">
        <v>291</v>
      </c>
      <c r="D120" s="12" t="s">
        <v>15</v>
      </c>
      <c r="E120" s="16">
        <v>0.86160000000000003</v>
      </c>
      <c r="F120" s="11"/>
      <c r="G120" s="14"/>
      <c r="H120" s="11" t="s">
        <v>292</v>
      </c>
      <c r="J120" s="2" t="s">
        <v>12</v>
      </c>
      <c r="Q120" s="8"/>
      <c r="R120" s="19"/>
    </row>
    <row r="121" spans="1:18" customFormat="1" ht="15" x14ac:dyDescent="0.25">
      <c r="A121" s="9">
        <f>IF(J121&lt;&gt;"",COUNTA(J$7:J121),"")</f>
        <v>102</v>
      </c>
      <c r="B121" s="10" t="s">
        <v>293</v>
      </c>
      <c r="C121" s="11" t="s">
        <v>294</v>
      </c>
      <c r="D121" s="12" t="s">
        <v>15</v>
      </c>
      <c r="E121" s="16">
        <v>0.87170000000000003</v>
      </c>
      <c r="F121" s="11"/>
      <c r="G121" s="14"/>
      <c r="H121" s="11" t="s">
        <v>295</v>
      </c>
      <c r="J121" s="2" t="s">
        <v>12</v>
      </c>
      <c r="Q121" s="8"/>
      <c r="R121" s="19"/>
    </row>
    <row r="122" spans="1:18" customFormat="1" ht="15" x14ac:dyDescent="0.25">
      <c r="A122" s="9">
        <f>IF(J122&lt;&gt;"",COUNTA(J$7:J122),"")</f>
        <v>103</v>
      </c>
      <c r="B122" s="10" t="s">
        <v>296</v>
      </c>
      <c r="C122" s="11" t="s">
        <v>297</v>
      </c>
      <c r="D122" s="12" t="s">
        <v>15</v>
      </c>
      <c r="E122" s="16">
        <v>0.47420000000000001</v>
      </c>
      <c r="F122" s="11"/>
      <c r="G122" s="14"/>
      <c r="H122" s="11" t="s">
        <v>298</v>
      </c>
      <c r="J122" s="2" t="s">
        <v>12</v>
      </c>
      <c r="Q122" s="8"/>
      <c r="R122" s="19"/>
    </row>
    <row r="123" spans="1:18" customFormat="1" ht="22.5" x14ac:dyDescent="0.25">
      <c r="A123" s="9">
        <f>IF(J123&lt;&gt;"",COUNTA(J$7:J123),"")</f>
        <v>104</v>
      </c>
      <c r="B123" s="10" t="s">
        <v>299</v>
      </c>
      <c r="C123" s="11" t="s">
        <v>51</v>
      </c>
      <c r="D123" s="12" t="s">
        <v>15</v>
      </c>
      <c r="E123" s="16">
        <v>0.33479999999999999</v>
      </c>
      <c r="F123" s="11"/>
      <c r="G123" s="14"/>
      <c r="H123" s="11" t="s">
        <v>300</v>
      </c>
      <c r="J123" s="2" t="s">
        <v>12</v>
      </c>
      <c r="Q123" s="8"/>
      <c r="R123" s="19"/>
    </row>
    <row r="124" spans="1:18" customFormat="1" ht="15" x14ac:dyDescent="0.25">
      <c r="A124" s="9">
        <f>IF(J124&lt;&gt;"",COUNTA(J$7:J124),"")</f>
        <v>105</v>
      </c>
      <c r="B124" s="10" t="s">
        <v>301</v>
      </c>
      <c r="C124" s="11" t="s">
        <v>116</v>
      </c>
      <c r="D124" s="12" t="s">
        <v>15</v>
      </c>
      <c r="E124" s="16">
        <v>0.10539999999999999</v>
      </c>
      <c r="F124" s="11"/>
      <c r="G124" s="14"/>
      <c r="H124" s="11" t="s">
        <v>302</v>
      </c>
      <c r="J124" s="2" t="s">
        <v>12</v>
      </c>
      <c r="Q124" s="8"/>
      <c r="R124" s="19"/>
    </row>
    <row r="125" spans="1:18" customFormat="1" ht="22.5" x14ac:dyDescent="0.25">
      <c r="A125" s="9">
        <f>IF(J125&lt;&gt;"",COUNTA(J$7:J125),"")</f>
        <v>106</v>
      </c>
      <c r="B125" s="10" t="s">
        <v>303</v>
      </c>
      <c r="C125" s="11" t="s">
        <v>304</v>
      </c>
      <c r="D125" s="12" t="s">
        <v>15</v>
      </c>
      <c r="E125" s="16">
        <v>6.3299999999999995E-2</v>
      </c>
      <c r="F125" s="11"/>
      <c r="G125" s="14"/>
      <c r="H125" s="11" t="s">
        <v>305</v>
      </c>
      <c r="J125" s="2" t="s">
        <v>12</v>
      </c>
      <c r="Q125" s="8"/>
      <c r="R125" s="19"/>
    </row>
    <row r="126" spans="1:18" customFormat="1" ht="22.5" x14ac:dyDescent="0.25">
      <c r="A126" s="9">
        <f>IF(J126&lt;&gt;"",COUNTA(J$7:J126),"")</f>
        <v>107</v>
      </c>
      <c r="B126" s="10" t="s">
        <v>306</v>
      </c>
      <c r="C126" s="11" t="s">
        <v>307</v>
      </c>
      <c r="D126" s="12" t="s">
        <v>15</v>
      </c>
      <c r="E126" s="16">
        <v>4.2200000000000001E-2</v>
      </c>
      <c r="F126" s="11"/>
      <c r="G126" s="14"/>
      <c r="H126" s="11" t="s">
        <v>308</v>
      </c>
      <c r="J126" s="2" t="s">
        <v>12</v>
      </c>
      <c r="Q126" s="8"/>
      <c r="R126" s="19"/>
    </row>
    <row r="127" spans="1:18" customFormat="1" ht="15" x14ac:dyDescent="0.25">
      <c r="A127" s="31" t="s">
        <v>309</v>
      </c>
      <c r="B127" s="31"/>
      <c r="C127" s="31"/>
      <c r="D127" s="31"/>
      <c r="E127" s="31"/>
      <c r="F127" s="31"/>
      <c r="G127" s="31"/>
      <c r="H127" s="31"/>
      <c r="Q127" s="8"/>
      <c r="R127" s="19" t="s">
        <v>309</v>
      </c>
    </row>
    <row r="128" spans="1:18" customFormat="1" ht="33.75" x14ac:dyDescent="0.25">
      <c r="A128" s="9">
        <f>IF(J128&lt;&gt;"",COUNTA(J$7:J128),"")</f>
        <v>108</v>
      </c>
      <c r="B128" s="10" t="s">
        <v>310</v>
      </c>
      <c r="C128" s="11" t="s">
        <v>311</v>
      </c>
      <c r="D128" s="12" t="s">
        <v>312</v>
      </c>
      <c r="E128" s="16">
        <v>1.4496</v>
      </c>
      <c r="F128" s="11"/>
      <c r="G128" s="14"/>
      <c r="H128" s="11" t="s">
        <v>313</v>
      </c>
      <c r="J128" s="2" t="s">
        <v>12</v>
      </c>
      <c r="Q128" s="8"/>
      <c r="R128" s="19"/>
    </row>
    <row r="129" spans="1:18" customFormat="1" ht="15" x14ac:dyDescent="0.25">
      <c r="A129" s="9">
        <f>IF(J129&lt;&gt;"",COUNTA(J$7:J129),"")</f>
        <v>109</v>
      </c>
      <c r="B129" s="10" t="s">
        <v>314</v>
      </c>
      <c r="C129" s="11" t="s">
        <v>315</v>
      </c>
      <c r="D129" s="12" t="s">
        <v>316</v>
      </c>
      <c r="E129" s="18">
        <v>60.3</v>
      </c>
      <c r="F129" s="11"/>
      <c r="G129" s="14"/>
      <c r="H129" s="11" t="s">
        <v>317</v>
      </c>
      <c r="J129" s="2" t="s">
        <v>12</v>
      </c>
      <c r="Q129" s="8"/>
      <c r="R129" s="19"/>
    </row>
    <row r="130" spans="1:18" customFormat="1" ht="15" x14ac:dyDescent="0.25">
      <c r="A130" s="9">
        <f>IF(J130&lt;&gt;"",COUNTA(J$7:J130),"")</f>
        <v>110</v>
      </c>
      <c r="B130" s="10" t="s">
        <v>318</v>
      </c>
      <c r="C130" s="11" t="s">
        <v>319</v>
      </c>
      <c r="D130" s="12" t="s">
        <v>320</v>
      </c>
      <c r="E130" s="15">
        <v>147.57</v>
      </c>
      <c r="F130" s="11"/>
      <c r="G130" s="14"/>
      <c r="H130" s="11" t="s">
        <v>29</v>
      </c>
      <c r="J130" s="2" t="s">
        <v>12</v>
      </c>
      <c r="Q130" s="8"/>
      <c r="R130" s="19"/>
    </row>
    <row r="131" spans="1:18" customFormat="1" ht="22.5" x14ac:dyDescent="0.25">
      <c r="A131" s="9">
        <f>IF(J131&lt;&gt;"",COUNTA(J$7:J131),"")</f>
        <v>111</v>
      </c>
      <c r="B131" s="10" t="s">
        <v>321</v>
      </c>
      <c r="C131" s="11" t="s">
        <v>322</v>
      </c>
      <c r="D131" s="12" t="s">
        <v>25</v>
      </c>
      <c r="E131" s="18">
        <v>3.5</v>
      </c>
      <c r="F131" s="11"/>
      <c r="G131" s="14"/>
      <c r="H131" s="11" t="s">
        <v>29</v>
      </c>
      <c r="J131" s="2" t="s">
        <v>12</v>
      </c>
      <c r="Q131" s="8"/>
      <c r="R131" s="19"/>
    </row>
    <row r="132" spans="1:18" customFormat="1" ht="15" x14ac:dyDescent="0.25">
      <c r="A132" s="9">
        <f>IF(J132&lt;&gt;"",COUNTA(J$7:J132),"")</f>
        <v>112</v>
      </c>
      <c r="B132" s="10" t="s">
        <v>323</v>
      </c>
      <c r="C132" s="11" t="s">
        <v>324</v>
      </c>
      <c r="D132" s="12" t="s">
        <v>25</v>
      </c>
      <c r="E132" s="15">
        <v>3.57</v>
      </c>
      <c r="F132" s="11"/>
      <c r="G132" s="14"/>
      <c r="H132" s="11" t="s">
        <v>29</v>
      </c>
      <c r="J132" s="2" t="s">
        <v>12</v>
      </c>
      <c r="Q132" s="8"/>
      <c r="R132" s="19"/>
    </row>
    <row r="133" spans="1:18" customFormat="1" ht="15" x14ac:dyDescent="0.25">
      <c r="A133" s="31" t="s">
        <v>325</v>
      </c>
      <c r="B133" s="31"/>
      <c r="C133" s="31"/>
      <c r="D133" s="31"/>
      <c r="E133" s="31"/>
      <c r="F133" s="31"/>
      <c r="G133" s="31"/>
      <c r="H133" s="31"/>
      <c r="Q133" s="8"/>
      <c r="R133" s="19" t="s">
        <v>325</v>
      </c>
    </row>
    <row r="134" spans="1:18" customFormat="1" ht="15" x14ac:dyDescent="0.25">
      <c r="A134" s="9">
        <f>IF(J134&lt;&gt;"",COUNTA(J$7:J134),"")</f>
        <v>113</v>
      </c>
      <c r="B134" s="10" t="s">
        <v>326</v>
      </c>
      <c r="C134" s="11" t="s">
        <v>35</v>
      </c>
      <c r="D134" s="12" t="s">
        <v>21</v>
      </c>
      <c r="E134" s="16">
        <v>9.1999999999999998E-3</v>
      </c>
      <c r="F134" s="11"/>
      <c r="G134" s="14"/>
      <c r="H134" s="11" t="s">
        <v>327</v>
      </c>
      <c r="J134" s="2" t="s">
        <v>12</v>
      </c>
      <c r="Q134" s="8"/>
      <c r="R134" s="19"/>
    </row>
    <row r="135" spans="1:18" customFormat="1" ht="15" x14ac:dyDescent="0.25">
      <c r="A135" s="9">
        <f>IF(J135&lt;&gt;"",COUNTA(J$7:J135),"")</f>
        <v>114</v>
      </c>
      <c r="B135" s="10" t="s">
        <v>328</v>
      </c>
      <c r="C135" s="11" t="s">
        <v>38</v>
      </c>
      <c r="D135" s="12" t="s">
        <v>25</v>
      </c>
      <c r="E135" s="16">
        <v>0.93840000000000001</v>
      </c>
      <c r="F135" s="11"/>
      <c r="G135" s="14"/>
      <c r="H135" s="11" t="s">
        <v>29</v>
      </c>
      <c r="J135" s="2" t="s">
        <v>12</v>
      </c>
      <c r="Q135" s="8"/>
      <c r="R135" s="19"/>
    </row>
    <row r="136" spans="1:18" customFormat="1" ht="15" x14ac:dyDescent="0.25">
      <c r="A136" s="9">
        <f>IF(J136&lt;&gt;"",COUNTA(J$7:J136),"")</f>
        <v>115</v>
      </c>
      <c r="B136" s="10" t="s">
        <v>329</v>
      </c>
      <c r="C136" s="11" t="s">
        <v>330</v>
      </c>
      <c r="D136" s="12" t="s">
        <v>25</v>
      </c>
      <c r="E136" s="15">
        <v>1.58</v>
      </c>
      <c r="F136" s="11"/>
      <c r="G136" s="14"/>
      <c r="H136" s="11" t="s">
        <v>331</v>
      </c>
      <c r="J136" s="2" t="s">
        <v>12</v>
      </c>
      <c r="Q136" s="8"/>
      <c r="R136" s="19"/>
    </row>
    <row r="137" spans="1:18" customFormat="1" ht="22.5" x14ac:dyDescent="0.25">
      <c r="A137" s="9">
        <f>IF(J137&lt;&gt;"",COUNTA(J$7:J137),"")</f>
        <v>116</v>
      </c>
      <c r="B137" s="10" t="s">
        <v>332</v>
      </c>
      <c r="C137" s="11" t="s">
        <v>49</v>
      </c>
      <c r="D137" s="12" t="s">
        <v>25</v>
      </c>
      <c r="E137" s="16">
        <v>1.6036999999999999</v>
      </c>
      <c r="F137" s="11"/>
      <c r="G137" s="14"/>
      <c r="H137" s="11" t="s">
        <v>29</v>
      </c>
      <c r="J137" s="2" t="s">
        <v>12</v>
      </c>
      <c r="Q137" s="8"/>
      <c r="R137" s="19"/>
    </row>
    <row r="138" spans="1:18" customFormat="1" ht="15" x14ac:dyDescent="0.25">
      <c r="A138" s="9">
        <f>IF(J138&lt;&gt;"",COUNTA(J$7:J138),"")</f>
        <v>117</v>
      </c>
      <c r="B138" s="10" t="s">
        <v>333</v>
      </c>
      <c r="C138" s="11" t="s">
        <v>334</v>
      </c>
      <c r="D138" s="12" t="s">
        <v>15</v>
      </c>
      <c r="E138" s="16">
        <v>6.8400000000000002E-2</v>
      </c>
      <c r="F138" s="11"/>
      <c r="G138" s="14"/>
      <c r="H138" s="11" t="s">
        <v>335</v>
      </c>
      <c r="J138" s="2" t="s">
        <v>12</v>
      </c>
      <c r="Q138" s="8"/>
      <c r="R138" s="19"/>
    </row>
    <row r="139" spans="1:18" customFormat="1" ht="15" x14ac:dyDescent="0.25">
      <c r="A139" s="9">
        <f>IF(J139&lt;&gt;"",COUNTA(J$7:J139),"")</f>
        <v>118</v>
      </c>
      <c r="B139" s="10" t="s">
        <v>336</v>
      </c>
      <c r="C139" s="11" t="s">
        <v>337</v>
      </c>
      <c r="D139" s="12" t="s">
        <v>15</v>
      </c>
      <c r="E139" s="16">
        <v>6.9199999999999998E-2</v>
      </c>
      <c r="F139" s="11"/>
      <c r="G139" s="14"/>
      <c r="H139" s="11" t="s">
        <v>338</v>
      </c>
      <c r="J139" s="2" t="s">
        <v>12</v>
      </c>
      <c r="Q139" s="8"/>
      <c r="R139" s="19"/>
    </row>
    <row r="140" spans="1:18" customFormat="1" ht="15" x14ac:dyDescent="0.25">
      <c r="A140" s="9">
        <f>IF(J140&lt;&gt;"",COUNTA(J$7:J140),"")</f>
        <v>119</v>
      </c>
      <c r="B140" s="10" t="s">
        <v>339</v>
      </c>
      <c r="C140" s="11" t="s">
        <v>340</v>
      </c>
      <c r="D140" s="12" t="s">
        <v>15</v>
      </c>
      <c r="E140" s="16">
        <v>8.0799999999999997E-2</v>
      </c>
      <c r="F140" s="11"/>
      <c r="G140" s="14"/>
      <c r="H140" s="11" t="s">
        <v>341</v>
      </c>
      <c r="J140" s="2" t="s">
        <v>12</v>
      </c>
      <c r="Q140" s="8"/>
      <c r="R140" s="19"/>
    </row>
    <row r="141" spans="1:18" customFormat="1" ht="15" x14ac:dyDescent="0.25">
      <c r="A141" s="9">
        <f>IF(J141&lt;&gt;"",COUNTA(J$7:J141),"")</f>
        <v>120</v>
      </c>
      <c r="B141" s="10" t="s">
        <v>342</v>
      </c>
      <c r="C141" s="11" t="s">
        <v>343</v>
      </c>
      <c r="D141" s="12" t="s">
        <v>15</v>
      </c>
      <c r="E141" s="16">
        <v>8.8000000000000005E-3</v>
      </c>
      <c r="F141" s="11"/>
      <c r="G141" s="14"/>
      <c r="H141" s="11" t="s">
        <v>344</v>
      </c>
      <c r="J141" s="2" t="s">
        <v>12</v>
      </c>
      <c r="Q141" s="8"/>
      <c r="R141" s="19"/>
    </row>
    <row r="142" spans="1:18" customFormat="1" ht="15" x14ac:dyDescent="0.25">
      <c r="A142" s="9">
        <f>IF(J142&lt;&gt;"",COUNTA(J$7:J142),"")</f>
        <v>121</v>
      </c>
      <c r="B142" s="10" t="s">
        <v>345</v>
      </c>
      <c r="C142" s="11" t="s">
        <v>116</v>
      </c>
      <c r="D142" s="12" t="s">
        <v>15</v>
      </c>
      <c r="E142" s="16">
        <v>1.7600000000000001E-2</v>
      </c>
      <c r="F142" s="11"/>
      <c r="G142" s="14"/>
      <c r="H142" s="11" t="s">
        <v>346</v>
      </c>
      <c r="J142" s="2" t="s">
        <v>12</v>
      </c>
      <c r="Q142" s="8"/>
      <c r="R142" s="19"/>
    </row>
    <row r="143" spans="1:18" customFormat="1" ht="15" x14ac:dyDescent="0.25">
      <c r="A143" s="9">
        <f>IF(J143&lt;&gt;"",COUNTA(J$7:J143),"")</f>
        <v>122</v>
      </c>
      <c r="B143" s="10" t="s">
        <v>347</v>
      </c>
      <c r="C143" s="11" t="s">
        <v>348</v>
      </c>
      <c r="D143" s="12" t="s">
        <v>15</v>
      </c>
      <c r="E143" s="16">
        <v>1.7600000000000001E-2</v>
      </c>
      <c r="F143" s="11"/>
      <c r="G143" s="14"/>
      <c r="H143" s="11" t="s">
        <v>29</v>
      </c>
      <c r="J143" s="2" t="s">
        <v>12</v>
      </c>
      <c r="Q143" s="8"/>
      <c r="R143" s="19"/>
    </row>
    <row r="144" spans="1:18" customFormat="1" ht="22.5" x14ac:dyDescent="0.25">
      <c r="A144" s="9">
        <f>IF(J144&lt;&gt;"",COUNTA(J$7:J144),"")</f>
        <v>123</v>
      </c>
      <c r="B144" s="10" t="s">
        <v>349</v>
      </c>
      <c r="C144" s="11" t="s">
        <v>322</v>
      </c>
      <c r="D144" s="12" t="s">
        <v>25</v>
      </c>
      <c r="E144" s="13">
        <v>2.4E-2</v>
      </c>
      <c r="F144" s="11"/>
      <c r="G144" s="14"/>
      <c r="H144" s="11" t="s">
        <v>350</v>
      </c>
      <c r="J144" s="2" t="s">
        <v>12</v>
      </c>
      <c r="Q144" s="8"/>
      <c r="R144" s="19"/>
    </row>
    <row r="145" spans="1:18" customFormat="1" ht="15" x14ac:dyDescent="0.25">
      <c r="A145" s="9">
        <f>IF(J145&lt;&gt;"",COUNTA(J$7:J145),"")</f>
        <v>124</v>
      </c>
      <c r="B145" s="10" t="s">
        <v>351</v>
      </c>
      <c r="C145" s="11" t="s">
        <v>352</v>
      </c>
      <c r="D145" s="12" t="s">
        <v>25</v>
      </c>
      <c r="E145" s="16">
        <v>2.4500000000000001E-2</v>
      </c>
      <c r="F145" s="11"/>
      <c r="G145" s="14"/>
      <c r="H145" s="11" t="s">
        <v>29</v>
      </c>
      <c r="J145" s="2" t="s">
        <v>12</v>
      </c>
      <c r="Q145" s="8"/>
      <c r="R145" s="19"/>
    </row>
    <row r="146" spans="1:18" customFormat="1" ht="33.75" x14ac:dyDescent="0.25">
      <c r="A146" s="9">
        <f>IF(J146&lt;&gt;"",COUNTA(J$7:J146),"")</f>
        <v>125</v>
      </c>
      <c r="B146" s="10" t="s">
        <v>353</v>
      </c>
      <c r="C146" s="11" t="s">
        <v>354</v>
      </c>
      <c r="D146" s="12" t="s">
        <v>312</v>
      </c>
      <c r="E146" s="15">
        <v>0.04</v>
      </c>
      <c r="F146" s="11"/>
      <c r="G146" s="14"/>
      <c r="H146" s="11" t="s">
        <v>355</v>
      </c>
      <c r="J146" s="2" t="s">
        <v>12</v>
      </c>
      <c r="Q146" s="8"/>
      <c r="R146" s="19"/>
    </row>
    <row r="147" spans="1:18" customFormat="1" ht="15" x14ac:dyDescent="0.25">
      <c r="A147" s="9">
        <f>IF(J147&lt;&gt;"",COUNTA(J$7:J147),"")</f>
        <v>126</v>
      </c>
      <c r="B147" s="10" t="s">
        <v>356</v>
      </c>
      <c r="C147" s="11" t="s">
        <v>357</v>
      </c>
      <c r="D147" s="12" t="s">
        <v>358</v>
      </c>
      <c r="E147" s="18">
        <v>1.2</v>
      </c>
      <c r="F147" s="11"/>
      <c r="G147" s="14"/>
      <c r="H147" s="11" t="s">
        <v>359</v>
      </c>
      <c r="J147" s="2" t="s">
        <v>12</v>
      </c>
      <c r="Q147" s="8"/>
      <c r="R147" s="19"/>
    </row>
    <row r="148" spans="1:18" customFormat="1" ht="15" x14ac:dyDescent="0.25">
      <c r="A148" s="31" t="s">
        <v>360</v>
      </c>
      <c r="B148" s="31"/>
      <c r="C148" s="31"/>
      <c r="D148" s="31"/>
      <c r="E148" s="31"/>
      <c r="F148" s="31"/>
      <c r="G148" s="31"/>
      <c r="H148" s="31"/>
      <c r="Q148" s="8"/>
      <c r="R148" s="19" t="s">
        <v>360</v>
      </c>
    </row>
    <row r="149" spans="1:18" customFormat="1" ht="15" x14ac:dyDescent="0.25">
      <c r="A149" s="9">
        <f>IF(J149&lt;&gt;"",COUNTA(J$7:J149),"")</f>
        <v>127</v>
      </c>
      <c r="B149" s="10" t="s">
        <v>361</v>
      </c>
      <c r="C149" s="11" t="s">
        <v>362</v>
      </c>
      <c r="D149" s="12" t="s">
        <v>21</v>
      </c>
      <c r="E149" s="20">
        <v>0.21504000000000001</v>
      </c>
      <c r="F149" s="11"/>
      <c r="G149" s="14"/>
      <c r="H149" s="11" t="s">
        <v>363</v>
      </c>
      <c r="J149" s="2" t="s">
        <v>12</v>
      </c>
      <c r="Q149" s="8"/>
      <c r="R149" s="19"/>
    </row>
    <row r="150" spans="1:18" customFormat="1" ht="22.5" x14ac:dyDescent="0.25">
      <c r="A150" s="9">
        <f>IF(J150&lt;&gt;"",COUNTA(J$7:J150),"")</f>
        <v>128</v>
      </c>
      <c r="B150" s="10" t="s">
        <v>364</v>
      </c>
      <c r="C150" s="11" t="s">
        <v>49</v>
      </c>
      <c r="D150" s="12" t="s">
        <v>25</v>
      </c>
      <c r="E150" s="16">
        <v>21.934100000000001</v>
      </c>
      <c r="F150" s="11"/>
      <c r="G150" s="14"/>
      <c r="H150" s="11" t="s">
        <v>29</v>
      </c>
      <c r="J150" s="2" t="s">
        <v>12</v>
      </c>
      <c r="Q150" s="8"/>
      <c r="R150" s="19"/>
    </row>
    <row r="151" spans="1:18" customFormat="1" ht="15" x14ac:dyDescent="0.25">
      <c r="A151" s="9">
        <f>IF(J151&lt;&gt;"",COUNTA(J$7:J151),"")</f>
        <v>129</v>
      </c>
      <c r="B151" s="10" t="s">
        <v>365</v>
      </c>
      <c r="C151" s="11" t="s">
        <v>108</v>
      </c>
      <c r="D151" s="12" t="s">
        <v>15</v>
      </c>
      <c r="E151" s="16">
        <v>0.27279999999999999</v>
      </c>
      <c r="F151" s="11"/>
      <c r="G151" s="14"/>
      <c r="H151" s="11" t="s">
        <v>366</v>
      </c>
      <c r="J151" s="2" t="s">
        <v>12</v>
      </c>
      <c r="Q151" s="8"/>
      <c r="R151" s="19"/>
    </row>
    <row r="152" spans="1:18" customFormat="1" ht="15" x14ac:dyDescent="0.25">
      <c r="A152" s="9">
        <f>IF(J152&lt;&gt;"",COUNTA(J$7:J152),"")</f>
        <v>130</v>
      </c>
      <c r="B152" s="10" t="s">
        <v>367</v>
      </c>
      <c r="C152" s="11" t="s">
        <v>368</v>
      </c>
      <c r="D152" s="12" t="s">
        <v>15</v>
      </c>
      <c r="E152" s="16">
        <v>0.27279999999999999</v>
      </c>
      <c r="F152" s="11"/>
      <c r="G152" s="14"/>
      <c r="H152" s="11" t="s">
        <v>29</v>
      </c>
      <c r="J152" s="2" t="s">
        <v>12</v>
      </c>
      <c r="Q152" s="8"/>
      <c r="R152" s="19"/>
    </row>
    <row r="153" spans="1:18" customFormat="1" ht="22.5" x14ac:dyDescent="0.25">
      <c r="A153" s="9">
        <f>IF(J153&lt;&gt;"",COUNTA(J$7:J153),"")</f>
        <v>131</v>
      </c>
      <c r="B153" s="10" t="s">
        <v>369</v>
      </c>
      <c r="C153" s="11" t="s">
        <v>322</v>
      </c>
      <c r="D153" s="12" t="s">
        <v>25</v>
      </c>
      <c r="E153" s="15">
        <v>0.71</v>
      </c>
      <c r="F153" s="11"/>
      <c r="G153" s="14"/>
      <c r="H153" s="11" t="s">
        <v>29</v>
      </c>
      <c r="J153" s="2" t="s">
        <v>12</v>
      </c>
      <c r="Q153" s="8"/>
      <c r="R153" s="19"/>
    </row>
    <row r="154" spans="1:18" customFormat="1" ht="15" x14ac:dyDescent="0.25">
      <c r="A154" s="9">
        <f>IF(J154&lt;&gt;"",COUNTA(J$7:J154),"")</f>
        <v>132</v>
      </c>
      <c r="B154" s="10" t="s">
        <v>370</v>
      </c>
      <c r="C154" s="11" t="s">
        <v>352</v>
      </c>
      <c r="D154" s="12" t="s">
        <v>25</v>
      </c>
      <c r="E154" s="15">
        <v>0.72</v>
      </c>
      <c r="F154" s="11"/>
      <c r="G154" s="14"/>
      <c r="H154" s="11" t="s">
        <v>29</v>
      </c>
      <c r="J154" s="2" t="s">
        <v>12</v>
      </c>
      <c r="Q154" s="8"/>
      <c r="R154" s="19"/>
    </row>
    <row r="155" spans="1:18" customFormat="1" ht="33.75" x14ac:dyDescent="0.25">
      <c r="A155" s="9">
        <f>IF(J155&lt;&gt;"",COUNTA(J$7:J155),"")</f>
        <v>133</v>
      </c>
      <c r="B155" s="10" t="s">
        <v>371</v>
      </c>
      <c r="C155" s="11" t="s">
        <v>354</v>
      </c>
      <c r="D155" s="12" t="s">
        <v>312</v>
      </c>
      <c r="E155" s="16">
        <v>1.4168000000000001</v>
      </c>
      <c r="F155" s="11"/>
      <c r="G155" s="14"/>
      <c r="H155" s="11" t="s">
        <v>372</v>
      </c>
      <c r="J155" s="2" t="s">
        <v>12</v>
      </c>
      <c r="Q155" s="8"/>
      <c r="R155" s="19"/>
    </row>
    <row r="156" spans="1:18" customFormat="1" ht="15" x14ac:dyDescent="0.25">
      <c r="A156" s="9">
        <f>IF(J156&lt;&gt;"",COUNTA(J$7:J156),"")</f>
        <v>134</v>
      </c>
      <c r="B156" s="10" t="s">
        <v>373</v>
      </c>
      <c r="C156" s="11" t="s">
        <v>374</v>
      </c>
      <c r="D156" s="12" t="s">
        <v>316</v>
      </c>
      <c r="E156" s="15">
        <v>29.47</v>
      </c>
      <c r="F156" s="11"/>
      <c r="G156" s="14"/>
      <c r="H156" s="11" t="s">
        <v>375</v>
      </c>
      <c r="J156" s="2" t="s">
        <v>12</v>
      </c>
      <c r="Q156" s="8"/>
      <c r="R156" s="19"/>
    </row>
    <row r="157" spans="1:18" customFormat="1" ht="36.75" customHeight="1" x14ac:dyDescent="0.25"/>
    <row r="159" spans="1:18" customFormat="1" ht="15" x14ac:dyDescent="0.25">
      <c r="B159" s="21"/>
      <c r="D159" s="21"/>
      <c r="F159" s="21"/>
    </row>
    <row r="164" spans="3:3" customFormat="1" ht="15" x14ac:dyDescent="0.25">
      <c r="C164" s="22"/>
    </row>
    <row r="165" spans="3:3" customFormat="1" ht="15" x14ac:dyDescent="0.25">
      <c r="C165" s="22"/>
    </row>
    <row r="166" spans="3:3" customFormat="1" ht="15" x14ac:dyDescent="0.25">
      <c r="C166" s="22"/>
    </row>
  </sheetData>
  <mergeCells count="17">
    <mergeCell ref="A4:E4"/>
    <mergeCell ref="A5:E5"/>
    <mergeCell ref="A6:E6"/>
    <mergeCell ref="A7:E7"/>
    <mergeCell ref="A2:H2"/>
    <mergeCell ref="A133:H133"/>
    <mergeCell ref="A148:H148"/>
    <mergeCell ref="A23:H23"/>
    <mergeCell ref="A94:H94"/>
    <mergeCell ref="A104:H104"/>
    <mergeCell ref="A114:H114"/>
    <mergeCell ref="A127:H127"/>
    <mergeCell ref="G9:H9"/>
    <mergeCell ref="G10:H10"/>
    <mergeCell ref="A14:H14"/>
    <mergeCell ref="A22:H22"/>
    <mergeCell ref="A11:H11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02_20_21_004_СибВАМИ_1_2_200101</vt:lpstr>
      <vt:lpstr>'02_20_21_004_СибВАМИ_1_2_200101'!Заголовки_для_печати</vt:lpstr>
      <vt:lpstr>'02_20_21_004_СибВАМИ_1_2_200101'!Область_печати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Lukiyanova Elena</dc:creator>
  <cp:lastModifiedBy>Yuriev Andrey</cp:lastModifiedBy>
  <cp:lastPrinted>2023-06-08T12:07:32Z</cp:lastPrinted>
  <dcterms:created xsi:type="dcterms:W3CDTF">2020-09-30T08:50:27Z</dcterms:created>
  <dcterms:modified xsi:type="dcterms:W3CDTF">2025-06-10T06:27:45Z</dcterms:modified>
</cp:coreProperties>
</file>