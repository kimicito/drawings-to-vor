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8_{46818E23-B728-CD42-895E-FB23D561C4C4}" xr6:coauthVersionLast="47" xr6:coauthVersionMax="47" xr10:uidLastSave="{00000000-0000-0000-0000-000000000000}"/>
  <bookViews>
    <workbookView xWindow="0" yWindow="0" windowWidth="29070" windowHeight="4530" xr2:uid="{00000000-000D-0000-FFFF-FFFF00000000}"/>
  </bookViews>
  <sheets>
    <sheet name="ВОР 150200 КЖ5" sheetId="1" r:id="rId1"/>
    <sheet name="ПСЦМ 150200 КЖ5" sheetId="2" r:id="rId2"/>
  </sheets>
  <definedNames>
    <definedName name="_xlnm._FilterDatabase" localSheetId="0" hidden="1">'ВОР 150200 КЖ5'!$A$23:$G$305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7" i="1"/>
  <c r="D175" i="1"/>
  <c r="D155" i="1"/>
  <c r="D146" i="1"/>
  <c r="D137" i="1"/>
  <c r="D64" i="1"/>
  <c r="D293" i="1"/>
  <c r="D284" i="1"/>
  <c r="D275" i="1"/>
  <c r="D267" i="1"/>
  <c r="D258" i="1"/>
  <c r="D249" i="1"/>
  <c r="D239" i="1"/>
  <c r="D231" i="1"/>
  <c r="D221" i="1"/>
  <c r="D211" i="1"/>
  <c r="D201" i="1"/>
  <c r="D188" i="1"/>
  <c r="D165" i="1"/>
  <c r="D111" i="1"/>
  <c r="D92" i="1"/>
  <c r="D73" i="1"/>
  <c r="D55" i="1"/>
  <c r="D43" i="1"/>
  <c r="D34" i="1"/>
  <c r="D186" i="1"/>
  <c r="D173" i="1"/>
  <c r="D153" i="1"/>
  <c r="D144" i="1"/>
  <c r="D135" i="1"/>
  <c r="D291" i="1"/>
  <c r="D282" i="1"/>
  <c r="D273" i="1"/>
  <c r="D265" i="1"/>
  <c r="D256" i="1"/>
  <c r="D247" i="1"/>
  <c r="D237" i="1"/>
  <c r="D229" i="1"/>
  <c r="D219" i="1"/>
  <c r="D209" i="1"/>
  <c r="D199" i="1"/>
  <c r="D163" i="1"/>
  <c r="D109" i="1"/>
  <c r="D90" i="1"/>
  <c r="D71" i="1"/>
  <c r="D62" i="1"/>
  <c r="D53" i="1"/>
  <c r="D41" i="1"/>
  <c r="D32" i="1"/>
  <c r="D300" i="1"/>
  <c r="D26" i="1"/>
  <c r="G9" i="2"/>
  <c r="G8" i="2"/>
  <c r="A9" i="2"/>
  <c r="A10" i="2"/>
  <c r="A31" i="1"/>
  <c r="G40" i="2"/>
  <c r="D302" i="1"/>
  <c r="G39" i="2"/>
  <c r="G38" i="2"/>
  <c r="D287" i="1"/>
  <c r="A33" i="1"/>
  <c r="A40" i="1"/>
  <c r="A42" i="1"/>
  <c r="A52" i="1"/>
  <c r="A54" i="1"/>
  <c r="A61" i="1"/>
  <c r="A63" i="1"/>
  <c r="A70" i="1"/>
  <c r="A72" i="1"/>
  <c r="A80" i="1"/>
  <c r="A89" i="1"/>
  <c r="A91" i="1"/>
  <c r="A99" i="1"/>
  <c r="A108" i="1"/>
  <c r="A110" i="1"/>
  <c r="A114" i="1"/>
  <c r="A124" i="1"/>
  <c r="A127" i="1"/>
  <c r="A129" i="1"/>
  <c r="A134" i="1"/>
  <c r="G34" i="2"/>
  <c r="G37" i="2"/>
  <c r="A136" i="1"/>
  <c r="A143" i="1"/>
  <c r="A145" i="1"/>
  <c r="A152" i="1"/>
  <c r="A154" i="1"/>
  <c r="A162" i="1"/>
  <c r="A164" i="1"/>
  <c r="A172" i="1"/>
  <c r="A174" i="1"/>
  <c r="A180" i="1"/>
  <c r="A185" i="1"/>
  <c r="A187" i="1"/>
  <c r="A193" i="1"/>
  <c r="A198" i="1"/>
  <c r="A200" i="1"/>
  <c r="A208" i="1"/>
  <c r="A210" i="1"/>
  <c r="A218" i="1"/>
  <c r="A220" i="1"/>
  <c r="A228" i="1"/>
  <c r="A11" i="2"/>
  <c r="A12" i="2"/>
  <c r="A13" i="2"/>
  <c r="A14" i="2"/>
  <c r="A15" i="2"/>
  <c r="A16" i="2"/>
  <c r="A17" i="2"/>
  <c r="A18" i="2"/>
  <c r="A19" i="2"/>
  <c r="A20" i="2"/>
  <c r="A230" i="1"/>
  <c r="A236" i="1"/>
  <c r="A238" i="1"/>
  <c r="A246" i="1"/>
  <c r="A248" i="1"/>
  <c r="A255" i="1"/>
  <c r="A257" i="1"/>
  <c r="A264" i="1"/>
  <c r="A266" i="1"/>
  <c r="A272" i="1"/>
  <c r="A274" i="1"/>
  <c r="A281" i="1"/>
  <c r="A283" i="1"/>
  <c r="A290" i="1"/>
  <c r="A292" i="1"/>
  <c r="A299" i="1"/>
  <c r="A301" i="1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D301" i="1"/>
  <c r="D299" i="1"/>
  <c r="D295" i="1"/>
  <c r="D294" i="1"/>
  <c r="D288" i="1"/>
  <c r="D286" i="1"/>
  <c r="D285" i="1"/>
  <c r="D283" i="1"/>
  <c r="D281" i="1"/>
  <c r="D297" i="1"/>
  <c r="D296" i="1"/>
  <c r="D292" i="1"/>
  <c r="D290" i="1"/>
  <c r="D279" i="1"/>
  <c r="D278" i="1"/>
  <c r="D277" i="1"/>
  <c r="D276" i="1"/>
  <c r="D274" i="1"/>
  <c r="D272" i="1"/>
  <c r="D270" i="1"/>
  <c r="D269" i="1"/>
  <c r="D268" i="1"/>
  <c r="D266" i="1"/>
  <c r="D264" i="1"/>
  <c r="D262" i="1"/>
  <c r="D261" i="1"/>
  <c r="D260" i="1"/>
  <c r="D259" i="1"/>
  <c r="D257" i="1"/>
  <c r="D255" i="1"/>
  <c r="D250" i="1"/>
  <c r="D253" i="1"/>
  <c r="D252" i="1"/>
  <c r="D251" i="1"/>
  <c r="D248" i="1"/>
  <c r="D246" i="1"/>
  <c r="D244" i="1"/>
  <c r="D243" i="1"/>
  <c r="D242" i="1"/>
  <c r="D241" i="1"/>
  <c r="D240" i="1"/>
  <c r="D238" i="1"/>
  <c r="D236" i="1"/>
  <c r="D234" i="1"/>
  <c r="D233" i="1"/>
  <c r="D232" i="1"/>
  <c r="D230" i="1"/>
  <c r="D228" i="1"/>
  <c r="D204" i="1"/>
  <c r="D203" i="1"/>
  <c r="D226" i="1"/>
  <c r="D225" i="1"/>
  <c r="D224" i="1"/>
  <c r="D223" i="1"/>
  <c r="D222" i="1"/>
  <c r="D220" i="1"/>
  <c r="D218" i="1"/>
  <c r="D216" i="1"/>
  <c r="D215" i="1"/>
  <c r="D214" i="1"/>
  <c r="D213" i="1"/>
  <c r="D212" i="1"/>
  <c r="D210" i="1"/>
  <c r="D208" i="1"/>
  <c r="D206" i="1"/>
  <c r="D205" i="1"/>
  <c r="D202" i="1"/>
  <c r="D200" i="1"/>
  <c r="D198" i="1"/>
  <c r="D166" i="1"/>
  <c r="D193" i="1"/>
  <c r="D192" i="1"/>
  <c r="D191" i="1"/>
  <c r="D190" i="1"/>
  <c r="D189" i="1"/>
  <c r="D187" i="1"/>
  <c r="D185" i="1"/>
  <c r="D195" i="1"/>
  <c r="E187" i="1"/>
  <c r="E185" i="1"/>
  <c r="D182" i="1"/>
  <c r="D180" i="1"/>
  <c r="D179" i="1"/>
  <c r="D178" i="1"/>
  <c r="D177" i="1"/>
  <c r="D176" i="1"/>
  <c r="G12" i="2"/>
  <c r="D170" i="1"/>
  <c r="D169" i="1"/>
  <c r="D168" i="1"/>
  <c r="D167" i="1"/>
  <c r="D164" i="1"/>
  <c r="D162" i="1"/>
  <c r="D160" i="1"/>
  <c r="D159" i="1"/>
  <c r="D158" i="1"/>
  <c r="D157" i="1"/>
  <c r="D156" i="1"/>
  <c r="D150" i="1"/>
  <c r="D149" i="1"/>
  <c r="D148" i="1"/>
  <c r="D147" i="1"/>
  <c r="E147" i="1"/>
  <c r="D141" i="1"/>
  <c r="D140" i="1"/>
  <c r="D139" i="1"/>
  <c r="D138" i="1"/>
  <c r="E128" i="1"/>
  <c r="D114" i="1"/>
  <c r="D74" i="1"/>
  <c r="E127" i="1"/>
  <c r="D127" i="1"/>
  <c r="D128" i="1"/>
  <c r="G36" i="2"/>
  <c r="D123" i="1"/>
  <c r="D122" i="1"/>
  <c r="D121" i="1"/>
  <c r="G33" i="2"/>
  <c r="D120" i="1"/>
  <c r="D119" i="1"/>
  <c r="D118" i="1"/>
  <c r="G32" i="2"/>
  <c r="D117" i="1"/>
  <c r="D116" i="1"/>
  <c r="D115" i="1"/>
  <c r="G31" i="2"/>
  <c r="D113" i="1"/>
  <c r="G21" i="2"/>
  <c r="D112" i="1"/>
  <c r="G20" i="2"/>
  <c r="D110" i="1"/>
  <c r="D108" i="1"/>
  <c r="E110" i="1"/>
  <c r="E108" i="1"/>
  <c r="D103" i="1"/>
  <c r="D102" i="1"/>
  <c r="D101" i="1"/>
  <c r="D100" i="1"/>
  <c r="G29" i="2"/>
  <c r="D99" i="1"/>
  <c r="D98" i="1"/>
  <c r="D97" i="1"/>
  <c r="D106" i="1"/>
  <c r="D105" i="1"/>
  <c r="D104" i="1"/>
  <c r="D96" i="1"/>
  <c r="D95" i="1"/>
  <c r="D94" i="1"/>
  <c r="D93" i="1"/>
  <c r="D91" i="1"/>
  <c r="D89" i="1"/>
  <c r="D87" i="1"/>
  <c r="D86" i="1"/>
  <c r="D85" i="1"/>
  <c r="D84" i="1"/>
  <c r="D83" i="1"/>
  <c r="D82" i="1"/>
  <c r="D81" i="1"/>
  <c r="G28" i="2"/>
  <c r="D80" i="1"/>
  <c r="D79" i="1"/>
  <c r="D78" i="1"/>
  <c r="D68" i="1"/>
  <c r="G26" i="2"/>
  <c r="D59" i="1"/>
  <c r="G27" i="2"/>
  <c r="G30" i="2"/>
  <c r="D77" i="1"/>
  <c r="D76" i="1"/>
  <c r="D75" i="1"/>
  <c r="G16" i="2"/>
  <c r="D72" i="1"/>
  <c r="E72" i="1"/>
  <c r="D70" i="1"/>
  <c r="E70" i="1"/>
  <c r="D66" i="1"/>
  <c r="D67" i="1"/>
  <c r="D65" i="1"/>
  <c r="D58" i="1"/>
  <c r="G25" i="2"/>
  <c r="D57" i="1"/>
  <c r="D56" i="1"/>
  <c r="G18" i="2"/>
  <c r="D54" i="1"/>
  <c r="E54" i="1"/>
  <c r="D52" i="1"/>
  <c r="E52" i="1"/>
  <c r="D38" i="1"/>
  <c r="D37" i="1"/>
  <c r="G23" i="2"/>
  <c r="D36" i="1"/>
  <c r="G17" i="2"/>
  <c r="D49" i="1"/>
  <c r="D48" i="1"/>
  <c r="G22" i="2"/>
  <c r="D47" i="1"/>
  <c r="G19" i="2"/>
  <c r="D46" i="1"/>
  <c r="D45" i="1"/>
  <c r="G14" i="2"/>
  <c r="D44" i="1"/>
  <c r="G13" i="2"/>
  <c r="G24" i="2"/>
  <c r="D42" i="1"/>
  <c r="D40" i="1"/>
  <c r="D35" i="1"/>
  <c r="G15" i="2"/>
  <c r="G11" i="2"/>
  <c r="D33" i="1"/>
  <c r="G10" i="2"/>
  <c r="D31" i="1"/>
</calcChain>
</file>

<file path=xl/sharedStrings.xml><?xml version="1.0" encoding="utf-8"?>
<sst xmlns="http://schemas.openxmlformats.org/spreadsheetml/2006/main" count="1174" uniqueCount="439">
  <si>
    <t>№ п/п</t>
  </si>
  <si>
    <t>Наименование работ и затрат</t>
  </si>
  <si>
    <t>Ед. изм.</t>
  </si>
  <si>
    <t>Формула расчета объемов работ и расхода материалов, потребности ресурсов</t>
  </si>
  <si>
    <t>Ссылка на чертежи, спецификации в проектной документации</t>
  </si>
  <si>
    <t>Примечание</t>
  </si>
  <si>
    <t>Составил:</t>
  </si>
  <si>
    <t>Менеджер группы по направлению "Общестроительные работы и генеральный план"</t>
  </si>
  <si>
    <t>Логинов А.А.</t>
  </si>
  <si>
    <t>(подпись)</t>
  </si>
  <si>
    <t>(Ф.И.О)</t>
  </si>
  <si>
    <t>Проверил:</t>
  </si>
  <si>
    <t>Руководитель группы по направлению «Общестроительные работы и генеральный план"</t>
  </si>
  <si>
    <t>Аксенов Е.Е.</t>
  </si>
  <si>
    <t>УТВЕРЖДАЮ</t>
  </si>
  <si>
    <t>Директор департамента по строительству</t>
  </si>
  <si>
    <t>ООО "ОК РУСАЛ Промтехразвитие"</t>
  </si>
  <si>
    <t>"         "</t>
  </si>
  <si>
    <t>(взамен ВОР № ______ от ________________ по причине___</t>
  </si>
  <si>
    <t>(доп. к ВОР № ______ от ________________ по причине___)</t>
  </si>
  <si>
    <t>Код ИСР, СПП-элемент, объект:</t>
  </si>
  <si>
    <t>Основание (проект):</t>
  </si>
  <si>
    <t>Наименование работ:</t>
  </si>
  <si>
    <t>Кол-во</t>
  </si>
  <si>
    <t>к Техническому заданию №___________________</t>
  </si>
  <si>
    <t xml:space="preserve">Протокол согласования цен на материалы №___ от </t>
  </si>
  <si>
    <t>Населенный пункт и регион</t>
  </si>
  <si>
    <t>Наименование и техническая характеристика оборудования и материалов</t>
  </si>
  <si>
    <t>Тип, марка, ГОСТ</t>
  </si>
  <si>
    <t>Код оборудования (артикул) оборудования, изделия, материала</t>
  </si>
  <si>
    <t>Цена подрядной организации ( с учетом доставки),
руб без НДС</t>
  </si>
  <si>
    <t>Сумма подрядной организации ( с учетом доставки),
руб без НДС</t>
  </si>
  <si>
    <t>Цена коммерческого обзора
(с учетом доставки),
руб без НДС</t>
  </si>
  <si>
    <t>Сумма коммерческого обзора
(с учетом доставки),
руб без НДС</t>
  </si>
  <si>
    <t>Цена согласованная в смету
(с учетом доставки),
руб без НДС</t>
  </si>
  <si>
    <t>Сумма согласованная в смету
(с учетом доставки),
руб без НДС</t>
  </si>
  <si>
    <t>Примечание
(Источник цены коммерческого обзора: КП, № счета, ссылка на интернет-магазин, прайс категорийной стратегии, конкурентный отбор и пр.)</t>
  </si>
  <si>
    <t>г. Братск Иркутской области</t>
  </si>
  <si>
    <t>ГОСТ 26633-2015</t>
  </si>
  <si>
    <t>ГОСТ 5781-82</t>
  </si>
  <si>
    <t xml:space="preserve">Установка закладных деталей весом до 20 кг. </t>
  </si>
  <si>
    <t>Бетон В7,5</t>
  </si>
  <si>
    <t xml:space="preserve">Бетон В25 W6 F150 </t>
  </si>
  <si>
    <t>ГОСТ34028-2016</t>
  </si>
  <si>
    <t xml:space="preserve">Арматура ∅8-А240 </t>
  </si>
  <si>
    <t>Арматура ∅10-А500С</t>
  </si>
  <si>
    <t>Арматура ∅14-А500С</t>
  </si>
  <si>
    <t>Арматура ∅16-А500С</t>
  </si>
  <si>
    <t>Арматура ∅20-А500С</t>
  </si>
  <si>
    <t>Согласовано:</t>
  </si>
  <si>
    <t>Начальник ОМТС /коммерческой службы /коммерческий директор завода  (подпись) ФИО</t>
  </si>
  <si>
    <t>ИТОГО:</t>
  </si>
  <si>
    <t>Арматура ∅12-А500С</t>
  </si>
  <si>
    <t>150200 Отделение переработки электролита (ОПЭ)</t>
  </si>
  <si>
    <t>Ростверк Рсм1 - 13 шт.</t>
  </si>
  <si>
    <t>Устройство бетонной подготовки</t>
  </si>
  <si>
    <t>Устройство железобетонных фундаментов общего назначения под колонны объемом: до 3 м3</t>
  </si>
  <si>
    <t xml:space="preserve">Бетон В7,5 </t>
  </si>
  <si>
    <t>Бетон В25 F150 W6</t>
  </si>
  <si>
    <t>Арматура Ø16 А500С</t>
  </si>
  <si>
    <t>Арматура Ø12 А500С</t>
  </si>
  <si>
    <t>Арматура Ø8 А240</t>
  </si>
  <si>
    <t>м3</t>
  </si>
  <si>
    <t>т</t>
  </si>
  <si>
    <t>Ростверк Рсм2 - 1 шт.</t>
  </si>
  <si>
    <t>Арматура Ø20 А500С</t>
  </si>
  <si>
    <t>ГОСТ 34028-2016</t>
  </si>
  <si>
    <t>Фундамент ФОм1 - 1 шт.</t>
  </si>
  <si>
    <t>Устройство железобетонных фундаментов общего назначения объемом: до 25 м3</t>
  </si>
  <si>
    <t>440.02723.150200.1.6-КЖ5, лист 17</t>
  </si>
  <si>
    <t>Фундамент ФОм2 - 1 шт.</t>
  </si>
  <si>
    <t>Фундамент ФОм3 - 1 шт.</t>
  </si>
  <si>
    <t>Арматура Ø14 А500С</t>
  </si>
  <si>
    <t>440.02723.150200.1.6-КЖ5, лист 18</t>
  </si>
  <si>
    <t>ГОСТ19903-2015</t>
  </si>
  <si>
    <t>ГОСТ 24379.1-2012</t>
  </si>
  <si>
    <t>Установка закладных деталей весом: свыше 4 до 20 кг</t>
  </si>
  <si>
    <t>Фундамент ФОм4 - 1 шт.</t>
  </si>
  <si>
    <t>Фундамент ФОм5, ФОм5а - 2 шт.</t>
  </si>
  <si>
    <t>Устройство железобетонных фундаментов общего назначения объемом: до 5 м3</t>
  </si>
  <si>
    <t>Арматура Ø10 А500С</t>
  </si>
  <si>
    <t>440.02723.150200.1.6-КЖ5, лист 19</t>
  </si>
  <si>
    <t>Изоляция изделиями из пенопласта насухо холодных поверхностей покрытий и перекрытий</t>
  </si>
  <si>
    <t>Экструдированный пенополистирол (XPS) толщина 100 мм</t>
  </si>
  <si>
    <t>Плиты пенополистирольные теплоизоляционные, тип Т, ППС15</t>
  </si>
  <si>
    <t>Гидроизоляция полиуретановым герметиком с уплотнением пенополиэтиленовым прокладочным шнуром: горизонтальных швов</t>
  </si>
  <si>
    <t>Шнур пенополиэтиленовый теплоизоляционный уплотнительный, сечение круглое сплошное, диаметр 30 мм</t>
  </si>
  <si>
    <t>м</t>
  </si>
  <si>
    <t>Фундаментная балка БФм1 - 1 шт.</t>
  </si>
  <si>
    <t>Устройство фундаментных балок</t>
  </si>
  <si>
    <t>Фундаментная балка БФм2 - 1 шт.</t>
  </si>
  <si>
    <t>Фундаментная балка БФм3 - 1 шт.</t>
  </si>
  <si>
    <t>Фундаментная балка БФм4 - 4 шт.</t>
  </si>
  <si>
    <t>Фундаментная балка БФм5 - 1 шт.</t>
  </si>
  <si>
    <t>шт.</t>
  </si>
  <si>
    <t xml:space="preserve"> Фундаментная балка БФм6 - 1 шт.</t>
  </si>
  <si>
    <t>Фундаментная балка БФм7 - 2 шт.</t>
  </si>
  <si>
    <t>Фундаментная балка БФм8 - 4 шт.</t>
  </si>
  <si>
    <t>Фундаментная балка БФм9 - 4 шт.</t>
  </si>
  <si>
    <t>Фундаментная балка БФм10 - 2 шт.</t>
  </si>
  <si>
    <t>Фундаментная балка БФм11 - 2 шт.</t>
  </si>
  <si>
    <t>Фундаментная балка БФм12 - 2 шт.</t>
  </si>
  <si>
    <t>Фундаментная балка БФм13 - 2 шт.</t>
  </si>
  <si>
    <t>Фундаментная балка БФм14 - 3 шт.</t>
  </si>
  <si>
    <t>Фундаментная балка БФм15 - 1 шт.</t>
  </si>
  <si>
    <t>Фундаментная балка БФм16 - 1 шт.</t>
  </si>
  <si>
    <t>Фундаментная балка БФм17 - 2 шт.</t>
  </si>
  <si>
    <t>м2</t>
  </si>
  <si>
    <t>0,14*13</t>
  </si>
  <si>
    <t>0,8*13</t>
  </si>
  <si>
    <t>(4*3,82+4*2,56)*13/1000</t>
  </si>
  <si>
    <t>(14*1,72+14*2,88)*13/1000</t>
  </si>
  <si>
    <t>14*6,71/1000</t>
  </si>
  <si>
    <t>6*3,55/1000</t>
  </si>
  <si>
    <t>4*1,62/1000</t>
  </si>
  <si>
    <t>(12*1,98+24*1,09+36*0,64)/1000</t>
  </si>
  <si>
    <t>(2*0,39)/1000</t>
  </si>
  <si>
    <t>Арматура Ø8 А240                                         (арматурные заготовки/детали)</t>
  </si>
  <si>
    <t>Арматура Ø14А500С                                         (арматурные заготовки/детали)</t>
  </si>
  <si>
    <t>Арматура Ø16 А500С                                         (арматурные заготовки/детали)</t>
  </si>
  <si>
    <t>12*0,37*13/1000</t>
  </si>
  <si>
    <t>(2*0,54+4*0,19)*13/1000</t>
  </si>
  <si>
    <t>Арматура Ø20 А500С                                         (арматурные заготовки/детали)</t>
  </si>
  <si>
    <t>Арматура Ø12 А500С                                         (арматурные заготовки/детали)</t>
  </si>
  <si>
    <t>Арматура Ø10 А240                                         (арматурные заготовки/детали)</t>
  </si>
  <si>
    <t>(6*4,91+6*5,34)/1000</t>
  </si>
  <si>
    <t>440.02723.150200.1.6-КЖ5 (изм.0)</t>
  </si>
  <si>
    <t>440.02723.150200.1.6-КЖ5, лист 8</t>
  </si>
  <si>
    <t>440.02723.150200.1.6-КЖ5, лист 7</t>
  </si>
  <si>
    <t>30*2,35/1000</t>
  </si>
  <si>
    <t>28*2,75/1000</t>
  </si>
  <si>
    <t>35,5*2/1000</t>
  </si>
  <si>
    <t>34*3,24/1000</t>
  </si>
  <si>
    <t>38*3,11/1000</t>
  </si>
  <si>
    <t>3*41,83/1000</t>
  </si>
  <si>
    <t>440.02723.150200.1.6-КЖ5, лист 9</t>
  </si>
  <si>
    <t>Арматура Ø14 А500С                                         (арматурные заготовки/детали)</t>
  </si>
  <si>
    <t>(22*4,89+28*3,81)/1000</t>
  </si>
  <si>
    <t>(28*2,62+22*2,57)/1000</t>
  </si>
  <si>
    <t>16*0,56/1000</t>
  </si>
  <si>
    <t xml:space="preserve">(КП4) Арматура Ø12 А500С        </t>
  </si>
  <si>
    <t xml:space="preserve">(КП5) Арматура Ø12 А500С        </t>
  </si>
  <si>
    <t>3*48,48/1000</t>
  </si>
  <si>
    <t xml:space="preserve">(КП6) Арматура Ø12 А500С        </t>
  </si>
  <si>
    <t>386,6/1000</t>
  </si>
  <si>
    <t>(386,6+4*10,17)/1000</t>
  </si>
  <si>
    <t>20*1,81/1000</t>
  </si>
  <si>
    <t>330,09/1000</t>
  </si>
  <si>
    <t>48*0,42/1000</t>
  </si>
  <si>
    <t>4*10,17/1000</t>
  </si>
  <si>
    <t xml:space="preserve">(Зд1) Болт 1.1 М20х600, сталь 09Г2С-6 </t>
  </si>
  <si>
    <t>(Зд1) Лист 20х1450, сталь С245</t>
  </si>
  <si>
    <t>(Зд1) Арматура Ø14 А500С</t>
  </si>
  <si>
    <t>8,48*4/1000</t>
  </si>
  <si>
    <t>4*0,42*4/1000</t>
  </si>
  <si>
    <t>(29*2,62+23*2,57)/1000</t>
  </si>
  <si>
    <t>32*1,97/1000</t>
  </si>
  <si>
    <t>(23*5,14+29*4,05)/1000</t>
  </si>
  <si>
    <t>Каркас пространственный КП6 - 3шт.  (с учетом изготовления), Каркас Кр3 - 2шт., Арматура Ø12-А500С ГОСТ 34028-2016</t>
  </si>
  <si>
    <t>Каркас пространственный КП4 - 2 шт. (с учетом изготовления), Каркас Кр1 - 2шт., Арматура Ø12-А500С ГОСТ 34028-2016</t>
  </si>
  <si>
    <t>Каркас пространственный КП5 - 3 шт. (с учетом изготовления), Каркас Кр2 - 2шт., Арматура Ø12-А500С ГОСТ 34028-2016</t>
  </si>
  <si>
    <t>Каркас пространственный КП6 - 3 шт.  (с учетом изготовления), Каркас Кр3 - 2шт., Арматура Ø12-А500С ГОСТ 34028-2016</t>
  </si>
  <si>
    <t>(КП6) Арматура Ø12 А500С</t>
  </si>
  <si>
    <t>347,13/1000</t>
  </si>
  <si>
    <t>(347,13+4*10,17)/1000</t>
  </si>
  <si>
    <t>24*1,81/1000</t>
  </si>
  <si>
    <t>283,39/1000</t>
  </si>
  <si>
    <t>440.02723.150200.1.6-КЖ5, лист 10</t>
  </si>
  <si>
    <t>Арматура Ø10 А500С                                         (арматурные заготовки/детали)</t>
  </si>
  <si>
    <t>(18*1,88+18*1,02+17*0,76+2*0,46+2*1,14)*2/1000</t>
  </si>
  <si>
    <t>2*2*14,89/1000</t>
  </si>
  <si>
    <t>2*2*8,81/1000</t>
  </si>
  <si>
    <t>2*2*8,17/1000</t>
  </si>
  <si>
    <t>13,19*2/1000</t>
  </si>
  <si>
    <t>8*0,213*2/1000</t>
  </si>
  <si>
    <t>7,54*2/1000</t>
  </si>
  <si>
    <t>6*0,213*2/1000</t>
  </si>
  <si>
    <t>10*0,063*2/1000</t>
  </si>
  <si>
    <t>440.02723.150200.1.6-КЖ5, лист 4, п.7</t>
  </si>
  <si>
    <t>440.02723.150200.1.6-КЖ5, лист 4</t>
  </si>
  <si>
    <t>(2*14,89+2*8,81+2*8,17)*2/1000</t>
  </si>
  <si>
    <t>(15*1,46+15*1,52+4*2,27+4*1,59+4*3,01+2*2,52+3*1,33)*2/1000</t>
  </si>
  <si>
    <t>6*10,61/1000</t>
  </si>
  <si>
    <t>(4*3,07+10*3,21+36*1,47+12*1,02)/1000</t>
  </si>
  <si>
    <t>(24*1,08+10*2,59)/1000</t>
  </si>
  <si>
    <t>(23*0,54+31*0,15)/1000</t>
  </si>
  <si>
    <t>440.02723.150200.1.6-КЖ5, лист 11</t>
  </si>
  <si>
    <t>(4*4,23+50*1,47+12*1,02+10*4,36)/1000</t>
  </si>
  <si>
    <t>(31*1,08+10*2,59)/1000</t>
  </si>
  <si>
    <t>(30*0,54+42*0,15)/1000</t>
  </si>
  <si>
    <t>3*12,33/1000</t>
  </si>
  <si>
    <t>2*7,51/1000</t>
  </si>
  <si>
    <t>(4*3,69+44*1,47+6*1,02+8*0,55+6*3,92+4*3,58)/1000</t>
  </si>
  <si>
    <t>(29*1,08+10*2,59)/1000</t>
  </si>
  <si>
    <t>(27*0,54+37*0,15)/1000</t>
  </si>
  <si>
    <t>440.02723.150200.1.6-КЖ5, лист 12</t>
  </si>
  <si>
    <t>0,19*4</t>
  </si>
  <si>
    <t>2,17*4</t>
  </si>
  <si>
    <t>2*7,43*4/1000</t>
  </si>
  <si>
    <t>(4*3,65+44*1,47+14*1,02+10*3,92)*4/1000</t>
  </si>
  <si>
    <t>(27*0,54+37*0,15)*4/1000</t>
  </si>
  <si>
    <t>(29*1,08+10*1,06)*4/1000</t>
  </si>
  <si>
    <t>12*0,64/1000</t>
  </si>
  <si>
    <t>Арматура Ø12 А500С, L=720 мм (А1 - 12 шт.)</t>
  </si>
  <si>
    <t>Установка арматуры поз. А1 в существующий ростверк в просверленные отверстия глубиной 200 мм на эпоксидный клей</t>
  </si>
  <si>
    <t xml:space="preserve">440.02723.150200.1.6-КЖ5, лист 12, п.6 </t>
  </si>
  <si>
    <t>6*12,09/1000</t>
  </si>
  <si>
    <t>(10*4,35+56*1,02)/1000</t>
  </si>
  <si>
    <t>(28*1,08+6*1,06)/1000</t>
  </si>
  <si>
    <t>(33*0,54+36*0,15)/1000</t>
  </si>
  <si>
    <t>(4*1,4+18*1,02+22*0,58+6*3,21)/1000</t>
  </si>
  <si>
    <t>(20*1,08+6*1,06)/1000</t>
  </si>
  <si>
    <t>14*0,64/1000</t>
  </si>
  <si>
    <t>Арматура Ø12 А500С, L=720 мм (А1 - 14 шт.)</t>
  </si>
  <si>
    <t>6*3,9/1000</t>
  </si>
  <si>
    <t>(9*0,54+17*0,15)/1000</t>
  </si>
  <si>
    <t>3*12,21*4/1000</t>
  </si>
  <si>
    <t>440.02723.150200.1.6-КЖ5, лист 13</t>
  </si>
  <si>
    <t>0,26*2</t>
  </si>
  <si>
    <t>3,01*2</t>
  </si>
  <si>
    <t>3*15,91*2/1000</t>
  </si>
  <si>
    <t>(4*4,98+58*1,51+14*1,02+10*5,24)*2/1000</t>
  </si>
  <si>
    <t>(36*1,08+10*1,06)*2/1000</t>
  </si>
  <si>
    <t>(36*0,58+51*0,15)*2/1000</t>
  </si>
  <si>
    <t>0,25*4</t>
  </si>
  <si>
    <t>2,83*4</t>
  </si>
  <si>
    <t>3*15,29*4/1000</t>
  </si>
  <si>
    <t>2*9,41*4/1000</t>
  </si>
  <si>
    <t>(4*4,76+56*1,51+12*1,02+10*4,88)*4/1000</t>
  </si>
  <si>
    <t>(34*1,08+10*1,06)*4/1000</t>
  </si>
  <si>
    <t>(35*0,58+48*0,15)*4/1000</t>
  </si>
  <si>
    <t>(32*1,08+10*1,06)*4/1000</t>
  </si>
  <si>
    <t>(27*0,58+40*0,15)*4/1000</t>
  </si>
  <si>
    <t>4*0,18</t>
  </si>
  <si>
    <t>4*2,53</t>
  </si>
  <si>
    <t>3*11,59*4/1000</t>
  </si>
  <si>
    <t>2*7,04*4/1000</t>
  </si>
  <si>
    <t>(4*3,43+40*1,51+24*1,02+10*4,88)*4/1000</t>
  </si>
  <si>
    <t>2*9,8*2/1000</t>
  </si>
  <si>
    <t>0,19*2</t>
  </si>
  <si>
    <t>0,56*2</t>
  </si>
  <si>
    <t>4*7,43*2/1000</t>
  </si>
  <si>
    <t>4*3,65*2/1000</t>
  </si>
  <si>
    <t>(19*0,56+19*0,15)*2/1000</t>
  </si>
  <si>
    <t>440.02723.150200.1.6-КЖ5, лист 14</t>
  </si>
  <si>
    <t>2*14,55*2/1000</t>
  </si>
  <si>
    <t>(32*1,08+10*1,06)*2/1000</t>
  </si>
  <si>
    <t>0,24*2</t>
  </si>
  <si>
    <t>2,4*2</t>
  </si>
  <si>
    <t>2*8,93*2/1000</t>
  </si>
  <si>
    <t>(64*1,47+4*4,49+10*4,61)*2/1000</t>
  </si>
  <si>
    <t>(43*0,15+32*0,54)*2/1000</t>
  </si>
  <si>
    <t>0,25*2</t>
  </si>
  <si>
    <t>2,9*2</t>
  </si>
  <si>
    <t>(4*4,76+56*1,55+12*1,02+10*4,88)*2/1000</t>
  </si>
  <si>
    <t>(34*1,08+10*1,06)*2/1000</t>
  </si>
  <si>
    <t>(35*0,62+48*0,15)*2/1000</t>
  </si>
  <si>
    <t>4*15,29*2/1000</t>
  </si>
  <si>
    <t>440.02723.150200.1.6-КЖ5, лист 15</t>
  </si>
  <si>
    <t>2*0,18</t>
  </si>
  <si>
    <t>2,63*2</t>
  </si>
  <si>
    <t>4*11,59*2/1000</t>
  </si>
  <si>
    <t>(4*3,43+40*1,55+24*1,02+10*4,88)*2/1000</t>
  </si>
  <si>
    <t>(27*0,62+40*0,15)*2/1000</t>
  </si>
  <si>
    <t>0,22*3</t>
  </si>
  <si>
    <t>0,67*3</t>
  </si>
  <si>
    <t>4*8,54*3/1000</t>
  </si>
  <si>
    <t>4*4,27*3/1000</t>
  </si>
  <si>
    <t>(30*0,56+22*0,15)*3/1000</t>
  </si>
  <si>
    <t>5*9,17/1000</t>
  </si>
  <si>
    <t>(4*4,63+10*1,02+54*1,47+10*4,99)/1000</t>
  </si>
  <si>
    <t>(32*1,08+10*1,06)/1000</t>
  </si>
  <si>
    <t>(33*0,54+46*0,15)/1000</t>
  </si>
  <si>
    <t>0,16*2</t>
  </si>
  <si>
    <t>1,97*2</t>
  </si>
  <si>
    <t>(22*1,08+4*2,45+4*2,45+20*1,06)*2/1000</t>
  </si>
  <si>
    <t>(17*0,54+33*0,15)*2/1000</t>
  </si>
  <si>
    <t>(4*3,74+56*1,47+46*1,02+10*4,71+4*0,54+20*1,38+4*1,21)/1000</t>
  </si>
  <si>
    <t>(28*0,54+66*0,15)/1000</t>
  </si>
  <si>
    <t>(3*2,57+2*3,52+3*3,6+2*4,55)*2/1000</t>
  </si>
  <si>
    <t>(4*1,18+26*1,47+18*1,02+20*1,82+4*1,76)*2/1000</t>
  </si>
  <si>
    <t>(13*4,04+9,33+7,99+10,37+23,09+23,93+6,7+6,7+11,88+16,3+14,13+14,46*4+11,9+6,76+20,08*2+4*18,85+4*16,86+2*4,88+2*15,98+2*19,35+2*17,54+3*5,79+17,82+4,12+2*4,25)</t>
  </si>
  <si>
    <t>Арматура ∅20-А500С                                         (арматурные заготовки/детали)</t>
  </si>
  <si>
    <t>Арматура ∅16-А500С                                        (арматурные заготовки/детали)</t>
  </si>
  <si>
    <t>Арматура ∅14-А500С                                       (арматурные заготовки/детали)</t>
  </si>
  <si>
    <t>Арматура ∅12-А500С                                       (арматурные заготовки/детали)</t>
  </si>
  <si>
    <t>Арматура ∅10-А500С                                      (арматурные заготовки/детали)</t>
  </si>
  <si>
    <t>Арматура ∅10-А240                                      (арматурные заготовки/детали)</t>
  </si>
  <si>
    <t xml:space="preserve">Арматура ∅8-А240                                   (арматурные заготовки/детали) </t>
  </si>
  <si>
    <t xml:space="preserve">440.02723.150200.1.6-КЖ5, лист 17 </t>
  </si>
  <si>
    <t>Каркас пространственный КП4            (2 шт.)</t>
  </si>
  <si>
    <t>Каркас пространственный КП5            (3 шт.)</t>
  </si>
  <si>
    <t>Каркас пространственный КП6             (6 шт.)</t>
  </si>
  <si>
    <t>Шнур пенополиэтиленовый теплоизоляционный уплотнительный, сечение круглое сплошное, Ø 30 мм</t>
  </si>
  <si>
    <t>Сверление вертикальных отверстий в бетонных конструкциях полов перфоратором глубиной 200 мм Øом: до 20 мм</t>
  </si>
  <si>
    <t>1</t>
  </si>
  <si>
    <t>6.1</t>
  </si>
  <si>
    <t>8.1</t>
  </si>
  <si>
    <t>10.1</t>
  </si>
  <si>
    <t>11.1</t>
  </si>
  <si>
    <t>11.2</t>
  </si>
  <si>
    <t>13.1</t>
  </si>
  <si>
    <t>14.1</t>
  </si>
  <si>
    <t>14.2</t>
  </si>
  <si>
    <t>17.1</t>
  </si>
  <si>
    <t>17.2</t>
  </si>
  <si>
    <t>18.1</t>
  </si>
  <si>
    <t>19.1</t>
  </si>
  <si>
    <t>20.1</t>
  </si>
  <si>
    <t>20.2</t>
  </si>
  <si>
    <t>32.1</t>
  </si>
  <si>
    <t>32.2</t>
  </si>
  <si>
    <t>35.1</t>
  </si>
  <si>
    <t>35.2</t>
  </si>
  <si>
    <t>Приложение № 2.2</t>
  </si>
  <si>
    <t>Приложение №3.2 к Техническому заданию №___________________</t>
  </si>
  <si>
    <t>Пристройки. Ростверки, фундаменты и фундаментные балки</t>
  </si>
  <si>
    <t>(440.02723.150200.1.6-КЖ5 (изм.0))</t>
  </si>
  <si>
    <t>на устройство ростверков, фундаментов и фундаментных балок пристроек к здянию отделения переработки электролита (ОПЭ) в рамках реализации проекта «Братский алюминиевый завод. Экологическая реконструкция»</t>
  </si>
  <si>
    <t>Расход, ПСЦМ: Эпоксидный клей</t>
  </si>
  <si>
    <r>
      <rPr>
        <b/>
        <sz val="12"/>
        <rFont val="Times New Roman"/>
        <family val="1"/>
        <charset val="204"/>
      </rPr>
      <t>0,075т</t>
    </r>
    <r>
      <rPr>
        <sz val="12"/>
        <rFont val="Times New Roman"/>
        <family val="1"/>
        <charset val="204"/>
      </rPr>
      <t>((40*1,08+30*1,06)/1000)</t>
    </r>
  </si>
  <si>
    <t>Указать расход: Битумная грунтовка</t>
  </si>
  <si>
    <t>Указать расход: Горячий битум</t>
  </si>
  <si>
    <t xml:space="preserve">Учесть материал ПСЦМ:  
Эпоксидный клей, </t>
  </si>
  <si>
    <t>32.3</t>
  </si>
  <si>
    <t>кг</t>
  </si>
  <si>
    <t>Состав клеевой двухкомпонентный инъекционный на основе эпоксидной смолы для восстановления арматурных выпусков и тяжелых анкерных креплений в бетоне, объем 330 мл</t>
  </si>
  <si>
    <t>35.3</t>
  </si>
  <si>
    <t>Принято</t>
  </si>
  <si>
    <t>440.02723.150200.1.6-КЖ5, лист 16</t>
  </si>
  <si>
    <r>
      <t>(40*1,08</t>
    </r>
    <r>
      <rPr>
        <sz val="12"/>
        <color rgb="FFFF0000"/>
        <rFont val="Times New Roman"/>
        <family val="1"/>
        <charset val="204"/>
      </rPr>
      <t>+30*1,06)/1000</t>
    </r>
  </si>
  <si>
    <t>(5*7,59+5*1,91+5*3,09)/1000</t>
  </si>
  <si>
    <t>605,75*2</t>
  </si>
  <si>
    <t>Удалил раздел антикоррозионная защита</t>
  </si>
  <si>
    <t>Изделие закладное ЗД1 с АКЗ (1 шт.)</t>
  </si>
  <si>
    <t>Изделие закладное ЗД2 с АКЗ (1 шт.)</t>
  </si>
  <si>
    <t>Изделие закладное ЗД3 с АКЗ (8 шт.)</t>
  </si>
  <si>
    <t>Изделие закладное ЗД4 с АКЗ (4 шт.)</t>
  </si>
  <si>
    <t>Изделие закладное ЗД5 с АКЗ (4 шт.)</t>
  </si>
  <si>
    <t>Изделие закладное ЗД6 с АКЗ (4 шт.)</t>
  </si>
  <si>
    <t>(Зд1) Лист 10х1900х1900 сталь С245</t>
  </si>
  <si>
    <t>(Зд1) Лист 12х300х300, сталь С245</t>
  </si>
  <si>
    <t>(Зд1) Арматура Ø14 А500С, L=350 мм</t>
  </si>
  <si>
    <t xml:space="preserve"> (Зд1) Полоса 12х200х700 сталь С245</t>
  </si>
  <si>
    <t xml:space="preserve"> (Зд1) Арматура Ø12 А500С, L=240 мм</t>
  </si>
  <si>
    <t xml:space="preserve"> (Зд1) Полоса 12х200х400 сталь С245</t>
  </si>
  <si>
    <t xml:space="preserve"> (Зд1) Полоса 12х100х800 сталь С245</t>
  </si>
  <si>
    <t xml:space="preserve"> (Зд1) Арматура Ø8 А500С, L=160 мм</t>
  </si>
  <si>
    <t>Закладное изделие Зд1 с АКЗ - 1 шт.</t>
  </si>
  <si>
    <t>Закладное изделие Зд3 с АКЗ - 4 шт.</t>
  </si>
  <si>
    <t>Закладное изделие Зд2 с АКЗ - 1 шт.</t>
  </si>
  <si>
    <t>Закладное изделие Зд4 с АКЗ - 4 шт.</t>
  </si>
  <si>
    <t>Закладное изделие Зд5 с АКЗ - 4 шт.</t>
  </si>
  <si>
    <t>Закладное изделие Зд6 с АКЗ - 4 шт.</t>
  </si>
  <si>
    <t xml:space="preserve">Герметик </t>
  </si>
  <si>
    <t>ГОСТ Р 59522-2021</t>
  </si>
  <si>
    <t>Герметик ГОСТ Р 59522-2021</t>
  </si>
  <si>
    <t xml:space="preserve">Раздел 1. Земляные работы </t>
  </si>
  <si>
    <t>Раздел 2. Ростверки</t>
  </si>
  <si>
    <t>Раздел 3. Фундаменты</t>
  </si>
  <si>
    <t>Раздел 4. Деформационные швы</t>
  </si>
  <si>
    <t>Раздел 5. Фундаментные балки</t>
  </si>
  <si>
    <t>Раздел 6. Гидроизоляция</t>
  </si>
  <si>
    <t>Устройство основания под фундаменты: щебеночного</t>
  </si>
  <si>
    <t>Щебень фр. 5-10  (на расклинцовку)</t>
  </si>
  <si>
    <t>k=0,15</t>
  </si>
  <si>
    <t>Щебень фр. 20-40 (k упл.&gt;0,97)</t>
  </si>
  <si>
    <t>ГОСТ 8267-93</t>
  </si>
  <si>
    <t xml:space="preserve">Щебень фр. 5-10 </t>
  </si>
  <si>
    <t xml:space="preserve">Щебень фр. 20-40 </t>
  </si>
  <si>
    <t>((2,2*2,9)+(3,9*2,6)+(3,4*4,3)+(4,5*3,6)+(3,3*1,9)+(3,3*1,9))*0,8</t>
  </si>
  <si>
    <t>расход 1,15 для основания</t>
  </si>
  <si>
    <t>расход В7,5 1,02</t>
  </si>
  <si>
    <t>расход В25 1,015</t>
  </si>
  <si>
    <t>Праймер битумный, расход 0,2кг/м2 для 1 слоя</t>
  </si>
  <si>
    <t>Битумная мастика, расход 1кг/м2 для 1 слоя</t>
  </si>
  <si>
    <t>47,9*1,15-9,12</t>
  </si>
  <si>
    <t>9,12м3</t>
  </si>
  <si>
    <t>45,97м3</t>
  </si>
  <si>
    <t>Гидроизоляция боковая обмазочная битумной мастикой за 2 раза (по холодному битумному праймеру)</t>
  </si>
  <si>
    <t>605,75*0,2</t>
  </si>
  <si>
    <t>k=1,15</t>
  </si>
  <si>
    <t>0,14*13*1,02</t>
  </si>
  <si>
    <t>0,3*1,02</t>
  </si>
  <si>
    <t>0,64*1,02</t>
  </si>
  <si>
    <t>1,01*1,02</t>
  </si>
  <si>
    <t>1,46*1,02</t>
  </si>
  <si>
    <t>1,62*1,02</t>
  </si>
  <si>
    <t>0,63*2*1,02</t>
  </si>
  <si>
    <t>0,16*1,02</t>
  </si>
  <si>
    <t>0,22*1,02</t>
  </si>
  <si>
    <t>0,19*1,02</t>
  </si>
  <si>
    <t>0,19*4*1,02</t>
  </si>
  <si>
    <t>0,13*1,02</t>
  </si>
  <si>
    <t>0,02*1,02</t>
  </si>
  <si>
    <t>0,26*2*1,02</t>
  </si>
  <si>
    <t>0,25*4*1,02</t>
  </si>
  <si>
    <t>4*0,18*1,02</t>
  </si>
  <si>
    <t>0,19*2*1,02</t>
  </si>
  <si>
    <t>0,24*2*1,02</t>
  </si>
  <si>
    <t>0,25*2*1,02</t>
  </si>
  <si>
    <t>2*0,18*1,02</t>
  </si>
  <si>
    <t>0,22*3*1,02</t>
  </si>
  <si>
    <t>0,24*1,02</t>
  </si>
  <si>
    <t>0,26*1,02</t>
  </si>
  <si>
    <t>0,16*2*1,02</t>
  </si>
  <si>
    <t>0,8*13*1,015</t>
  </si>
  <si>
    <t>2,22*1,015</t>
  </si>
  <si>
    <t>9,77*1,015</t>
  </si>
  <si>
    <t>13,12*1,015</t>
  </si>
  <si>
    <t>1,78*1,015</t>
  </si>
  <si>
    <t>2,45*1,015</t>
  </si>
  <si>
    <t>2,12*1,015</t>
  </si>
  <si>
    <t>2,17*4*1,015</t>
  </si>
  <si>
    <t>1,79*1,015</t>
  </si>
  <si>
    <t>3,01*2*1,015</t>
  </si>
  <si>
    <t>2,83*4*1,015</t>
  </si>
  <si>
    <t>4*2,53*1,015</t>
  </si>
  <si>
    <t>0,56*2*1,015</t>
  </si>
  <si>
    <t>2,4*2*1,015</t>
  </si>
  <si>
    <t>2,9*2*1,015</t>
  </si>
  <si>
    <t>2,63*2*1,015</t>
  </si>
  <si>
    <t>0,67*3*1,015</t>
  </si>
  <si>
    <t>2,67*1,015</t>
  </si>
  <si>
    <t>3,85*1,015</t>
  </si>
  <si>
    <t>1,97*2*1,015</t>
  </si>
  <si>
    <t>11,64*1,015</t>
  </si>
  <si>
    <t>5,94*1,015</t>
  </si>
  <si>
    <t>4,66*2*1,015</t>
  </si>
  <si>
    <t>1,01*1,015</t>
  </si>
  <si>
    <t>Огрунтовка поверхности холодным битумным праймером.</t>
  </si>
  <si>
    <t>Праймер ПЛ-М, расход 0,2кг/м2 для 1 слоя</t>
  </si>
  <si>
    <t>Мастика битумная изоляционная МБИ, расход 1кг/м2 для 1 слоя</t>
  </si>
  <si>
    <t>ГОСТ 30693-2000</t>
  </si>
  <si>
    <t>Праймер ПЛ-М</t>
  </si>
  <si>
    <t>Мастика битумная изоляционная МБИ</t>
  </si>
  <si>
    <r>
      <t xml:space="preserve"> ВОР № ______ </t>
    </r>
    <r>
      <rPr>
        <b/>
        <u/>
        <sz val="11"/>
        <color theme="1"/>
        <rFont val="Times New Roman"/>
        <family val="1"/>
        <charset val="204"/>
      </rPr>
      <t>от _17.06.2025г</t>
    </r>
    <r>
      <rPr>
        <b/>
        <sz val="11"/>
        <color theme="1"/>
        <rFont val="Times New Roman"/>
        <family val="1"/>
        <charset val="204"/>
      </rPr>
      <t xml:space="preserve">._  
</t>
    </r>
  </si>
  <si>
    <t>55,085*0,15</t>
  </si>
  <si>
    <t>47,9*1,15-8,262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</si>
</sst>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#,##0.0"/>
    <numFmt numFmtId="166" formatCode="#,##0.000"/>
    <numFmt numFmtId="167" formatCode="#,##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sz val="9"/>
      <name val="Times New Roman"/>
      <family val="1"/>
      <charset val="204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name val="Calibri"/>
      <family val="2"/>
      <charset val="204"/>
      <scheme val="minor"/>
    </font>
    <font>
      <i/>
      <sz val="10"/>
      <color rgb="FF000000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b/>
      <sz val="12"/>
      <color rgb="FFFF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38">
    <xf numFmtId="0" fontId="0" fillId="0" borderId="0" xfId="0"/>
    <xf numFmtId="0" fontId="2" fillId="0" borderId="0" xfId="2" applyFont="1"/>
    <xf numFmtId="4" fontId="2" fillId="0" borderId="0" xfId="2" applyNumberFormat="1" applyFont="1"/>
    <xf numFmtId="0" fontId="2" fillId="0" borderId="0" xfId="0" applyFont="1" applyAlignment="1">
      <alignment vertical="top"/>
    </xf>
    <xf numFmtId="0" fontId="7" fillId="2" borderId="0" xfId="2" applyNumberFormat="1" applyFont="1" applyFill="1" applyBorder="1" applyAlignment="1">
      <alignment horizontal="left" vertical="center" wrapText="1"/>
    </xf>
    <xf numFmtId="0" fontId="2" fillId="0" borderId="7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7" fillId="2" borderId="2" xfId="2" applyFont="1" applyFill="1" applyBorder="1" applyAlignment="1">
      <alignment horizontal="left" vertical="center" wrapText="1"/>
    </xf>
    <xf numFmtId="4" fontId="5" fillId="2" borderId="11" xfId="2" applyNumberFormat="1" applyFont="1" applyFill="1" applyBorder="1" applyAlignment="1">
      <alignment horizontal="center" vertical="center" wrapText="1" shrinkToFit="1"/>
    </xf>
    <xf numFmtId="165" fontId="5" fillId="2" borderId="11" xfId="2" applyNumberFormat="1" applyFont="1" applyFill="1" applyBorder="1" applyAlignment="1">
      <alignment horizontal="left" vertical="center" wrapText="1"/>
    </xf>
    <xf numFmtId="0" fontId="5" fillId="2" borderId="2" xfId="2" applyFont="1" applyFill="1" applyBorder="1" applyAlignment="1">
      <alignment horizontal="left" vertical="center" wrapText="1"/>
    </xf>
    <xf numFmtId="0" fontId="5" fillId="2" borderId="2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6" fillId="2" borderId="2" xfId="2" applyFont="1" applyFill="1" applyBorder="1" applyAlignment="1">
      <alignment horizontal="right" vertical="center" wrapText="1"/>
    </xf>
    <xf numFmtId="164" fontId="5" fillId="2" borderId="2" xfId="2" applyNumberFormat="1" applyFont="1" applyFill="1" applyBorder="1" applyAlignment="1">
      <alignment horizontal="center" vertical="center"/>
    </xf>
    <xf numFmtId="0" fontId="5" fillId="2" borderId="11" xfId="2" applyFont="1" applyFill="1" applyBorder="1" applyAlignment="1">
      <alignment horizontal="center" vertical="center"/>
    </xf>
    <xf numFmtId="4" fontId="5" fillId="2" borderId="11" xfId="2" applyNumberFormat="1" applyFont="1" applyFill="1" applyBorder="1" applyAlignment="1">
      <alignment horizontal="center" vertical="center"/>
    </xf>
    <xf numFmtId="49" fontId="5" fillId="2" borderId="10" xfId="2" applyNumberFormat="1" applyFont="1" applyFill="1" applyBorder="1" applyAlignment="1">
      <alignment horizontal="center" vertical="center"/>
    </xf>
    <xf numFmtId="164" fontId="7" fillId="2" borderId="2" xfId="2" applyNumberFormat="1" applyFont="1" applyFill="1" applyBorder="1" applyAlignment="1">
      <alignment horizontal="center" vertical="center"/>
    </xf>
    <xf numFmtId="49" fontId="9" fillId="0" borderId="7" xfId="0" applyNumberFormat="1" applyFont="1" applyFill="1" applyBorder="1" applyAlignment="1">
      <alignment horizontal="right" wrapText="1"/>
    </xf>
    <xf numFmtId="49" fontId="11" fillId="0" borderId="7" xfId="0" applyNumberFormat="1" applyFont="1" applyFill="1" applyBorder="1" applyAlignment="1">
      <alignment horizontal="right"/>
    </xf>
    <xf numFmtId="0" fontId="9" fillId="0" borderId="15" xfId="0" applyFont="1" applyFill="1" applyBorder="1" applyAlignment="1"/>
    <xf numFmtId="49" fontId="12" fillId="0" borderId="0" xfId="0" applyNumberFormat="1" applyFont="1" applyFill="1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4" fillId="2" borderId="16" xfId="2" applyFont="1" applyFill="1" applyBorder="1" applyAlignment="1">
      <alignment horizontal="center" vertical="center" wrapText="1"/>
    </xf>
    <xf numFmtId="4" fontId="4" fillId="2" borderId="16" xfId="2" applyNumberFormat="1" applyFont="1" applyFill="1" applyBorder="1" applyAlignment="1">
      <alignment horizontal="center" vertical="center" wrapText="1"/>
    </xf>
    <xf numFmtId="43" fontId="4" fillId="2" borderId="16" xfId="1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10" fillId="0" borderId="0" xfId="2" applyFont="1" applyAlignment="1">
      <alignment horizontal="right" vertical="center"/>
    </xf>
    <xf numFmtId="0" fontId="4" fillId="2" borderId="17" xfId="2" applyFont="1" applyFill="1" applyBorder="1" applyAlignment="1">
      <alignment horizontal="center" vertical="center" wrapText="1"/>
    </xf>
    <xf numFmtId="0" fontId="4" fillId="2" borderId="18" xfId="2" applyFont="1" applyFill="1" applyBorder="1" applyAlignment="1">
      <alignment horizontal="center" vertical="center" wrapText="1"/>
    </xf>
    <xf numFmtId="0" fontId="8" fillId="2" borderId="18" xfId="2" applyFont="1" applyFill="1" applyBorder="1" applyAlignment="1">
      <alignment horizontal="center" vertical="center" wrapText="1"/>
    </xf>
    <xf numFmtId="0" fontId="8" fillId="2" borderId="16" xfId="2" applyFont="1" applyFill="1" applyBorder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4" fontId="7" fillId="2" borderId="2" xfId="2" applyNumberFormat="1" applyFont="1" applyFill="1" applyBorder="1" applyAlignment="1">
      <alignment horizontal="center" vertical="center"/>
    </xf>
    <xf numFmtId="4" fontId="7" fillId="2" borderId="14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left" vertical="center" wrapText="1"/>
    </xf>
    <xf numFmtId="4" fontId="7" fillId="2" borderId="5" xfId="2" applyNumberFormat="1" applyFont="1" applyFill="1" applyBorder="1" applyAlignment="1">
      <alignment horizontal="center" vertical="center"/>
    </xf>
    <xf numFmtId="164" fontId="7" fillId="2" borderId="5" xfId="2" applyNumberFormat="1" applyFont="1" applyFill="1" applyBorder="1" applyAlignment="1">
      <alignment horizontal="center" vertical="center"/>
    </xf>
    <xf numFmtId="4" fontId="7" fillId="2" borderId="22" xfId="2" applyNumberFormat="1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left" vertical="center" wrapText="1"/>
    </xf>
    <xf numFmtId="49" fontId="8" fillId="2" borderId="2" xfId="2" applyNumberFormat="1" applyFont="1" applyFill="1" applyBorder="1" applyAlignment="1">
      <alignment horizontal="left" vertical="center"/>
    </xf>
    <xf numFmtId="0" fontId="6" fillId="2" borderId="11" xfId="2" applyFont="1" applyFill="1" applyBorder="1" applyAlignment="1">
      <alignment horizontal="center" vertical="center"/>
    </xf>
    <xf numFmtId="4" fontId="6" fillId="2" borderId="11" xfId="2" applyNumberFormat="1" applyFont="1" applyFill="1" applyBorder="1" applyAlignment="1">
      <alignment horizontal="center" vertical="center"/>
    </xf>
    <xf numFmtId="166" fontId="6" fillId="2" borderId="11" xfId="2" applyNumberFormat="1" applyFont="1" applyFill="1" applyBorder="1" applyAlignment="1">
      <alignment horizontal="center" vertical="center"/>
    </xf>
    <xf numFmtId="49" fontId="5" fillId="2" borderId="25" xfId="2" applyNumberFormat="1" applyFont="1" applyFill="1" applyBorder="1" applyAlignment="1">
      <alignment horizontal="center" vertical="center"/>
    </xf>
    <xf numFmtId="166" fontId="5" fillId="2" borderId="11" xfId="2" applyNumberFormat="1" applyFont="1" applyFill="1" applyBorder="1" applyAlignment="1">
      <alignment horizontal="center" vertical="center" wrapText="1" shrinkToFit="1"/>
    </xf>
    <xf numFmtId="4" fontId="6" fillId="2" borderId="11" xfId="2" applyNumberFormat="1" applyFont="1" applyFill="1" applyBorder="1" applyAlignment="1">
      <alignment horizontal="center" vertical="center" wrapText="1" shrinkToFit="1"/>
    </xf>
    <xf numFmtId="166" fontId="6" fillId="2" borderId="11" xfId="2" applyNumberFormat="1" applyFont="1" applyFill="1" applyBorder="1" applyAlignment="1">
      <alignment horizontal="center" vertical="center" wrapText="1" shrinkToFit="1"/>
    </xf>
    <xf numFmtId="0" fontId="5" fillId="2" borderId="2" xfId="2" applyFont="1" applyFill="1" applyBorder="1" applyAlignment="1">
      <alignment horizontal="right" vertical="center" wrapText="1"/>
    </xf>
    <xf numFmtId="49" fontId="5" fillId="2" borderId="2" xfId="2" applyNumberFormat="1" applyFont="1" applyFill="1" applyBorder="1" applyAlignment="1">
      <alignment horizontal="center" vertical="center"/>
    </xf>
    <xf numFmtId="165" fontId="5" fillId="2" borderId="2" xfId="2" applyNumberFormat="1" applyFont="1" applyFill="1" applyBorder="1" applyAlignment="1">
      <alignment horizontal="left" vertical="center" wrapText="1"/>
    </xf>
    <xf numFmtId="4" fontId="6" fillId="2" borderId="2" xfId="2" applyNumberFormat="1" applyFont="1" applyFill="1" applyBorder="1" applyAlignment="1">
      <alignment horizontal="center" vertical="center" wrapText="1" shrinkToFit="1"/>
    </xf>
    <xf numFmtId="1" fontId="5" fillId="2" borderId="10" xfId="2" applyNumberFormat="1" applyFont="1" applyFill="1" applyBorder="1" applyAlignment="1">
      <alignment horizontal="center" vertical="center"/>
    </xf>
    <xf numFmtId="49" fontId="5" fillId="2" borderId="3" xfId="2" applyNumberFormat="1" applyFont="1" applyFill="1" applyBorder="1" applyAlignment="1">
      <alignment horizontal="center" vertical="center"/>
    </xf>
    <xf numFmtId="164" fontId="6" fillId="2" borderId="11" xfId="2" applyNumberFormat="1" applyFont="1" applyFill="1" applyBorder="1" applyAlignment="1">
      <alignment horizontal="center" vertical="center" wrapText="1" shrinkToFit="1"/>
    </xf>
    <xf numFmtId="0" fontId="7" fillId="2" borderId="2" xfId="2" applyFont="1" applyFill="1" applyBorder="1" applyAlignment="1">
      <alignment horizontal="center" vertical="center" wrapText="1"/>
    </xf>
    <xf numFmtId="0" fontId="7" fillId="2" borderId="13" xfId="2" applyFont="1" applyFill="1" applyBorder="1" applyAlignment="1">
      <alignment horizontal="left" vertical="center" wrapText="1"/>
    </xf>
    <xf numFmtId="164" fontId="7" fillId="2" borderId="11" xfId="2" applyNumberFormat="1" applyFont="1" applyFill="1" applyBorder="1" applyAlignment="1">
      <alignment horizontal="center" vertical="center"/>
    </xf>
    <xf numFmtId="4" fontId="7" fillId="2" borderId="11" xfId="2" applyNumberFormat="1" applyFont="1" applyFill="1" applyBorder="1" applyAlignment="1">
      <alignment horizontal="center" vertical="center"/>
    </xf>
    <xf numFmtId="4" fontId="7" fillId="2" borderId="26" xfId="2" applyNumberFormat="1" applyFont="1" applyFill="1" applyBorder="1" applyAlignment="1">
      <alignment horizontal="center" vertical="center"/>
    </xf>
    <xf numFmtId="0" fontId="10" fillId="2" borderId="12" xfId="2" applyFont="1" applyFill="1" applyBorder="1" applyAlignment="1">
      <alignment horizontal="left" vertical="center" wrapText="1"/>
    </xf>
    <xf numFmtId="0" fontId="15" fillId="0" borderId="0" xfId="0" applyFont="1"/>
    <xf numFmtId="0" fontId="16" fillId="0" borderId="0" xfId="0" applyFont="1"/>
    <xf numFmtId="49" fontId="5" fillId="2" borderId="30" xfId="2" applyNumberFormat="1" applyFont="1" applyFill="1" applyBorder="1" applyAlignment="1">
      <alignment horizontal="center" vertical="center"/>
    </xf>
    <xf numFmtId="164" fontId="5" fillId="2" borderId="11" xfId="2" applyNumberFormat="1" applyFont="1" applyFill="1" applyBorder="1" applyAlignment="1">
      <alignment horizontal="center" vertical="center" wrapText="1" shrinkToFit="1"/>
    </xf>
    <xf numFmtId="167" fontId="0" fillId="0" borderId="0" xfId="0" applyNumberFormat="1"/>
    <xf numFmtId="1" fontId="6" fillId="2" borderId="11" xfId="2" applyNumberFormat="1" applyFont="1" applyFill="1" applyBorder="1" applyAlignment="1">
      <alignment horizontal="center" vertical="center" wrapText="1" shrinkToFit="1"/>
    </xf>
    <xf numFmtId="166" fontId="6" fillId="2" borderId="2" xfId="2" applyNumberFormat="1" applyFont="1" applyFill="1" applyBorder="1" applyAlignment="1">
      <alignment horizontal="center" vertical="center" wrapText="1" shrinkToFit="1"/>
    </xf>
    <xf numFmtId="4" fontId="5" fillId="2" borderId="2" xfId="2" applyNumberFormat="1" applyFont="1" applyFill="1" applyBorder="1" applyAlignment="1">
      <alignment horizontal="center" vertical="center" wrapText="1" shrinkToFit="1"/>
    </xf>
    <xf numFmtId="4" fontId="7" fillId="2" borderId="2" xfId="2" applyNumberFormat="1" applyFont="1" applyFill="1" applyBorder="1" applyAlignment="1">
      <alignment horizontal="center" vertical="center" wrapText="1" shrinkToFit="1"/>
    </xf>
    <xf numFmtId="0" fontId="7" fillId="2" borderId="11" xfId="2" applyFont="1" applyFill="1" applyBorder="1" applyAlignment="1">
      <alignment horizontal="center" vertical="center"/>
    </xf>
    <xf numFmtId="3" fontId="6" fillId="2" borderId="2" xfId="2" applyNumberFormat="1" applyFont="1" applyFill="1" applyBorder="1" applyAlignment="1">
      <alignment horizontal="center" vertical="center" wrapText="1" shrinkToFit="1"/>
    </xf>
    <xf numFmtId="1" fontId="6" fillId="2" borderId="2" xfId="2" applyNumberFormat="1" applyFont="1" applyFill="1" applyBorder="1" applyAlignment="1">
      <alignment horizontal="center" vertical="center" wrapText="1" shrinkToFit="1"/>
    </xf>
    <xf numFmtId="1" fontId="5" fillId="2" borderId="2" xfId="2" applyNumberFormat="1" applyFont="1" applyFill="1" applyBorder="1" applyAlignment="1">
      <alignment horizontal="center" vertical="center"/>
    </xf>
    <xf numFmtId="0" fontId="0" fillId="2" borderId="0" xfId="0" applyFill="1"/>
    <xf numFmtId="2" fontId="5" fillId="2" borderId="10" xfId="2" applyNumberFormat="1" applyFont="1" applyFill="1" applyBorder="1" applyAlignment="1">
      <alignment horizontal="center" vertical="center"/>
    </xf>
    <xf numFmtId="1" fontId="5" fillId="2" borderId="3" xfId="2" applyNumberFormat="1" applyFont="1" applyFill="1" applyBorder="1" applyAlignment="1">
      <alignment horizontal="center" vertical="center"/>
    </xf>
    <xf numFmtId="0" fontId="0" fillId="0" borderId="7" xfId="0" applyBorder="1"/>
    <xf numFmtId="2" fontId="6" fillId="2" borderId="11" xfId="2" applyNumberFormat="1" applyFont="1" applyFill="1" applyBorder="1" applyAlignment="1">
      <alignment horizontal="center" vertical="center" wrapText="1" shrinkToFit="1"/>
    </xf>
    <xf numFmtId="2" fontId="5" fillId="2" borderId="2" xfId="2" applyNumberFormat="1" applyFont="1" applyFill="1" applyBorder="1" applyAlignment="1">
      <alignment horizontal="center" vertical="center"/>
    </xf>
    <xf numFmtId="0" fontId="7" fillId="2" borderId="11" xfId="2" applyFont="1" applyFill="1" applyBorder="1" applyAlignment="1">
      <alignment horizontal="left" vertical="center" wrapText="1"/>
    </xf>
    <xf numFmtId="165" fontId="5" fillId="3" borderId="2" xfId="2" applyNumberFormat="1" applyFont="1" applyFill="1" applyBorder="1" applyAlignment="1">
      <alignment horizontal="left" vertical="center" wrapText="1"/>
    </xf>
    <xf numFmtId="165" fontId="5" fillId="3" borderId="11" xfId="2" applyNumberFormat="1" applyFont="1" applyFill="1" applyBorder="1" applyAlignment="1">
      <alignment horizontal="left" vertical="center" wrapText="1"/>
    </xf>
    <xf numFmtId="0" fontId="5" fillId="3" borderId="2" xfId="2" applyFont="1" applyFill="1" applyBorder="1" applyAlignment="1">
      <alignment horizontal="left" vertical="center" wrapText="1"/>
    </xf>
    <xf numFmtId="0" fontId="6" fillId="2" borderId="2" xfId="2" applyFont="1" applyFill="1" applyBorder="1" applyAlignment="1">
      <alignment horizontal="center" vertical="center"/>
    </xf>
    <xf numFmtId="0" fontId="0" fillId="0" borderId="2" xfId="0" applyBorder="1"/>
    <xf numFmtId="0" fontId="0" fillId="4" borderId="0" xfId="0" applyFill="1"/>
    <xf numFmtId="0" fontId="0" fillId="0" borderId="8" xfId="0" applyBorder="1"/>
    <xf numFmtId="165" fontId="20" fillId="3" borderId="8" xfId="2" applyNumberFormat="1" applyFont="1" applyFill="1" applyBorder="1" applyAlignment="1">
      <alignment horizontal="left" vertical="center" wrapText="1"/>
    </xf>
    <xf numFmtId="4" fontId="7" fillId="2" borderId="9" xfId="2" applyNumberFormat="1" applyFont="1" applyFill="1" applyBorder="1" applyAlignment="1">
      <alignment horizontal="center" vertical="center"/>
    </xf>
    <xf numFmtId="4" fontId="7" fillId="2" borderId="31" xfId="2" applyNumberFormat="1" applyFont="1" applyFill="1" applyBorder="1" applyAlignment="1">
      <alignment horizontal="center" vertical="center"/>
    </xf>
    <xf numFmtId="0" fontId="10" fillId="2" borderId="32" xfId="2" applyFont="1" applyFill="1" applyBorder="1" applyAlignment="1">
      <alignment horizontal="left" vertical="center" wrapText="1"/>
    </xf>
    <xf numFmtId="49" fontId="8" fillId="2" borderId="2" xfId="2" applyNumberFormat="1" applyFont="1" applyFill="1" applyBorder="1" applyAlignment="1">
      <alignment horizontal="left" vertical="center"/>
    </xf>
    <xf numFmtId="0" fontId="7" fillId="2" borderId="11" xfId="2" applyFont="1" applyFill="1" applyBorder="1" applyAlignment="1">
      <alignment horizontal="left" vertical="center" wrapText="1"/>
    </xf>
    <xf numFmtId="49" fontId="8" fillId="2" borderId="2" xfId="2" quotePrefix="1" applyNumberFormat="1" applyFont="1" applyFill="1" applyBorder="1" applyAlignment="1">
      <alignment horizontal="left" vertical="center"/>
    </xf>
    <xf numFmtId="49" fontId="5" fillId="2" borderId="33" xfId="2" applyNumberFormat="1" applyFont="1" applyFill="1" applyBorder="1" applyAlignment="1">
      <alignment horizontal="center" vertical="center"/>
    </xf>
    <xf numFmtId="0" fontId="10" fillId="2" borderId="34" xfId="2" applyFont="1" applyFill="1" applyBorder="1" applyAlignment="1">
      <alignment horizontal="left" vertical="center" wrapText="1"/>
    </xf>
    <xf numFmtId="164" fontId="7" fillId="2" borderId="20" xfId="2" applyNumberFormat="1" applyFont="1" applyFill="1" applyBorder="1" applyAlignment="1">
      <alignment horizontal="center" vertical="center"/>
    </xf>
    <xf numFmtId="4" fontId="7" fillId="2" borderId="20" xfId="2" applyNumberFormat="1" applyFont="1" applyFill="1" applyBorder="1" applyAlignment="1">
      <alignment horizontal="center" vertical="center"/>
    </xf>
    <xf numFmtId="4" fontId="7" fillId="2" borderId="35" xfId="2" applyNumberFormat="1" applyFont="1" applyFill="1" applyBorder="1" applyAlignment="1">
      <alignment horizontal="center" vertical="center"/>
    </xf>
    <xf numFmtId="0" fontId="7" fillId="2" borderId="21" xfId="2" applyFont="1" applyFill="1" applyBorder="1" applyAlignment="1">
      <alignment horizontal="left" vertical="center" wrapText="1"/>
    </xf>
    <xf numFmtId="0" fontId="0" fillId="5" borderId="0" xfId="0" applyFill="1"/>
    <xf numFmtId="49" fontId="8" fillId="2" borderId="23" xfId="2" quotePrefix="1" applyNumberFormat="1" applyFont="1" applyFill="1" applyBorder="1" applyAlignment="1">
      <alignment horizontal="left" vertical="center"/>
    </xf>
    <xf numFmtId="49" fontId="8" fillId="2" borderId="15" xfId="2" quotePrefix="1" applyNumberFormat="1" applyFont="1" applyFill="1" applyBorder="1" applyAlignment="1">
      <alignment horizontal="left" vertical="center"/>
    </xf>
    <xf numFmtId="49" fontId="8" fillId="2" borderId="24" xfId="2" quotePrefix="1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49" fontId="8" fillId="2" borderId="3" xfId="2" quotePrefix="1" applyNumberFormat="1" applyFont="1" applyFill="1" applyBorder="1" applyAlignment="1">
      <alignment horizontal="left" vertical="center"/>
    </xf>
    <xf numFmtId="49" fontId="8" fillId="2" borderId="2" xfId="2" applyNumberFormat="1" applyFont="1" applyFill="1" applyBorder="1" applyAlignment="1">
      <alignment horizontal="left" vertical="center"/>
    </xf>
    <xf numFmtId="49" fontId="8" fillId="2" borderId="21" xfId="2" quotePrefix="1" applyNumberFormat="1" applyFont="1" applyFill="1" applyBorder="1" applyAlignment="1">
      <alignment horizontal="left" vertical="center"/>
    </xf>
    <xf numFmtId="49" fontId="8" fillId="2" borderId="21" xfId="2" applyNumberFormat="1" applyFont="1" applyFill="1" applyBorder="1" applyAlignment="1">
      <alignment horizontal="left" vertical="center"/>
    </xf>
    <xf numFmtId="49" fontId="8" fillId="2" borderId="23" xfId="2" applyNumberFormat="1" applyFont="1" applyFill="1" applyBorder="1" applyAlignment="1">
      <alignment horizontal="left" vertical="center"/>
    </xf>
    <xf numFmtId="49" fontId="8" fillId="2" borderId="24" xfId="2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right"/>
    </xf>
    <xf numFmtId="49" fontId="12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wrapText="1" shrinkToFit="1"/>
    </xf>
    <xf numFmtId="0" fontId="7" fillId="2" borderId="9" xfId="2" applyFont="1" applyFill="1" applyBorder="1" applyAlignment="1">
      <alignment horizontal="left" vertical="center" wrapText="1"/>
    </xf>
    <xf numFmtId="0" fontId="7" fillId="2" borderId="13" xfId="2" applyFont="1" applyFill="1" applyBorder="1" applyAlignment="1">
      <alignment horizontal="left" vertical="center" wrapText="1"/>
    </xf>
    <xf numFmtId="0" fontId="7" fillId="2" borderId="11" xfId="2" applyFont="1" applyFill="1" applyBorder="1" applyAlignment="1">
      <alignment horizontal="left" vertical="center" wrapText="1"/>
    </xf>
    <xf numFmtId="0" fontId="4" fillId="2" borderId="27" xfId="2" applyFont="1" applyFill="1" applyBorder="1" applyAlignment="1">
      <alignment horizontal="right" vertical="center"/>
    </xf>
    <xf numFmtId="0" fontId="4" fillId="2" borderId="28" xfId="2" applyFont="1" applyFill="1" applyBorder="1" applyAlignment="1">
      <alignment horizontal="right" vertical="center"/>
    </xf>
    <xf numFmtId="0" fontId="4" fillId="2" borderId="29" xfId="2" applyFont="1" applyFill="1" applyBorder="1" applyAlignment="1">
      <alignment horizontal="right" vertical="center"/>
    </xf>
    <xf numFmtId="0" fontId="19" fillId="0" borderId="0" xfId="0" applyFont="1" applyAlignment="1">
      <alignment horizontal="center"/>
    </xf>
  </cellXfs>
  <cellStyles count="4">
    <cellStyle name="Обычный" xfId="0" builtinId="0"/>
    <cellStyle name="Обычный 2" xfId="3" xr:uid="{00000000-0005-0000-0000-000001000000}"/>
    <cellStyle name="Обычный 3" xfId="2" xr:uid="{00000000-0005-0000-0000-000002000000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3"/>
  <sheetViews>
    <sheetView tabSelected="1" zoomScale="85" zoomScaleNormal="85" workbookViewId="0">
      <selection activeCell="B15" sqref="B15:G15"/>
    </sheetView>
  </sheetViews>
  <sheetFormatPr defaultRowHeight="15" x14ac:dyDescent="0.2"/>
  <cols>
    <col min="1" max="1" width="11.296875" bestFit="1" customWidth="1"/>
    <col min="2" max="2" width="50.71484375" customWidth="1"/>
    <col min="4" max="4" width="12.23828125" customWidth="1"/>
    <col min="5" max="5" width="36.859375" customWidth="1"/>
    <col min="6" max="6" width="38.7421875" customWidth="1"/>
    <col min="7" max="7" width="25.69140625" customWidth="1"/>
    <col min="9" max="9" width="9.14453125" style="110"/>
  </cols>
  <sheetData>
    <row r="1" spans="1:8" x14ac:dyDescent="0.2">
      <c r="A1" s="7"/>
      <c r="B1" s="7"/>
      <c r="C1" s="7"/>
      <c r="D1" s="7"/>
      <c r="E1" s="7"/>
      <c r="F1" s="7"/>
      <c r="G1" s="29" t="s">
        <v>314</v>
      </c>
    </row>
    <row r="2" spans="1:8" x14ac:dyDescent="0.2">
      <c r="A2" s="7"/>
      <c r="B2" s="7"/>
      <c r="C2" s="7"/>
      <c r="D2" s="7"/>
      <c r="E2" s="7"/>
      <c r="F2" s="123" t="s">
        <v>24</v>
      </c>
      <c r="G2" s="123"/>
    </row>
    <row r="3" spans="1:8" x14ac:dyDescent="0.2">
      <c r="A3" s="7"/>
      <c r="B3" s="7"/>
      <c r="C3" s="7"/>
      <c r="D3" s="7"/>
      <c r="E3" s="7"/>
      <c r="F3" s="7"/>
      <c r="G3" s="7"/>
    </row>
    <row r="4" spans="1:8" x14ac:dyDescent="0.2">
      <c r="A4" s="7"/>
      <c r="B4" s="7"/>
      <c r="C4" s="7"/>
      <c r="D4" s="7"/>
      <c r="E4" s="7"/>
      <c r="F4" s="7"/>
      <c r="G4" s="29" t="s">
        <v>14</v>
      </c>
    </row>
    <row r="5" spans="1:8" x14ac:dyDescent="0.2">
      <c r="A5" s="7"/>
      <c r="B5" s="7"/>
      <c r="C5" s="7"/>
      <c r="D5" s="7"/>
      <c r="E5" s="123" t="s">
        <v>15</v>
      </c>
      <c r="F5" s="123"/>
      <c r="G5" s="123"/>
    </row>
    <row r="6" spans="1:8" x14ac:dyDescent="0.2">
      <c r="A6" s="7"/>
      <c r="B6" s="7"/>
      <c r="C6" s="7"/>
      <c r="D6" s="7"/>
      <c r="E6" s="123" t="s">
        <v>16</v>
      </c>
      <c r="F6" s="123"/>
      <c r="G6" s="123"/>
    </row>
    <row r="7" spans="1:8" x14ac:dyDescent="0.2">
      <c r="A7" s="7"/>
      <c r="B7" s="7"/>
      <c r="C7" s="7"/>
      <c r="D7" s="7"/>
      <c r="E7" s="125"/>
      <c r="F7" s="125"/>
      <c r="G7" s="125"/>
    </row>
    <row r="8" spans="1:8" x14ac:dyDescent="0.2">
      <c r="A8" s="7"/>
      <c r="B8" s="7"/>
      <c r="C8" s="7"/>
      <c r="D8" s="7"/>
      <c r="E8" s="7"/>
      <c r="F8" s="24"/>
      <c r="G8" s="25" t="s">
        <v>10</v>
      </c>
    </row>
    <row r="9" spans="1:8" x14ac:dyDescent="0.2">
      <c r="A9" s="7"/>
      <c r="B9" s="7"/>
      <c r="C9" s="7"/>
      <c r="D9" s="7"/>
      <c r="E9" s="7"/>
      <c r="F9" s="26" t="s">
        <v>17</v>
      </c>
      <c r="G9" s="26"/>
    </row>
    <row r="10" spans="1:8" x14ac:dyDescent="0.2">
      <c r="A10" s="7"/>
      <c r="B10" s="7"/>
      <c r="C10" s="7"/>
      <c r="D10" s="7"/>
      <c r="E10" s="7"/>
      <c r="F10" s="7"/>
      <c r="G10" s="7"/>
    </row>
    <row r="11" spans="1:8" x14ac:dyDescent="0.2">
      <c r="A11" s="7"/>
      <c r="B11" s="7"/>
      <c r="C11" s="7"/>
      <c r="D11" s="7"/>
      <c r="E11" s="7"/>
      <c r="F11" s="7"/>
      <c r="G11" s="7"/>
    </row>
    <row r="12" spans="1:8" x14ac:dyDescent="0.2">
      <c r="A12" s="7"/>
      <c r="B12" s="7"/>
      <c r="C12" s="7"/>
      <c r="D12" s="7"/>
      <c r="E12" s="7"/>
      <c r="F12" s="7"/>
      <c r="G12" s="7"/>
    </row>
    <row r="13" spans="1:8" x14ac:dyDescent="0.2">
      <c r="A13" s="7"/>
      <c r="B13" s="7"/>
      <c r="C13" s="126" t="s">
        <v>436</v>
      </c>
      <c r="D13" s="127"/>
      <c r="E13" s="127"/>
      <c r="F13" s="7"/>
      <c r="G13" s="7"/>
    </row>
    <row r="14" spans="1:8" x14ac:dyDescent="0.2">
      <c r="A14" s="7"/>
      <c r="B14" s="124" t="s">
        <v>18</v>
      </c>
      <c r="C14" s="124"/>
      <c r="D14" s="124"/>
      <c r="E14" s="124"/>
      <c r="F14" s="124"/>
      <c r="G14" s="124"/>
      <c r="H14" s="27"/>
    </row>
    <row r="15" spans="1:8" x14ac:dyDescent="0.2">
      <c r="A15" s="7"/>
      <c r="B15" s="124" t="s">
        <v>19</v>
      </c>
      <c r="C15" s="124"/>
      <c r="D15" s="124"/>
      <c r="E15" s="124"/>
      <c r="F15" s="124"/>
      <c r="G15" s="124"/>
      <c r="H15" s="27"/>
    </row>
    <row r="16" spans="1:8" x14ac:dyDescent="0.2">
      <c r="A16" s="7"/>
      <c r="B16" s="7"/>
      <c r="C16" s="7"/>
      <c r="D16" s="7"/>
      <c r="E16" s="7"/>
      <c r="F16" s="7"/>
      <c r="G16" s="7"/>
    </row>
    <row r="17" spans="1:9" x14ac:dyDescent="0.2">
      <c r="A17" s="114" t="s">
        <v>20</v>
      </c>
      <c r="B17" s="114"/>
      <c r="C17" s="7"/>
      <c r="D17" s="115" t="s">
        <v>53</v>
      </c>
      <c r="E17" s="115"/>
      <c r="F17" s="115"/>
      <c r="G17" s="115"/>
      <c r="H17" s="28"/>
    </row>
    <row r="18" spans="1:9" x14ac:dyDescent="0.2">
      <c r="A18" s="114" t="s">
        <v>21</v>
      </c>
      <c r="B18" s="114"/>
      <c r="C18" s="7"/>
      <c r="D18" s="115" t="s">
        <v>126</v>
      </c>
      <c r="E18" s="115"/>
      <c r="F18" s="115"/>
      <c r="G18" s="115"/>
    </row>
    <row r="19" spans="1:9" x14ac:dyDescent="0.2">
      <c r="A19" s="7"/>
      <c r="B19" s="7"/>
      <c r="C19" s="7"/>
      <c r="D19" s="7"/>
      <c r="E19" s="7"/>
      <c r="F19" s="7"/>
      <c r="G19" s="7"/>
    </row>
    <row r="20" spans="1:9" x14ac:dyDescent="0.2">
      <c r="A20" s="7" t="s">
        <v>22</v>
      </c>
      <c r="B20" s="7"/>
      <c r="C20" s="7"/>
      <c r="D20" s="115" t="s">
        <v>316</v>
      </c>
      <c r="E20" s="115"/>
      <c r="F20" s="115"/>
      <c r="G20" s="115"/>
    </row>
    <row r="22" spans="1:9" ht="15.75" thickBot="1" x14ac:dyDescent="0.25">
      <c r="A22" s="116"/>
      <c r="B22" s="116"/>
      <c r="C22" s="116"/>
      <c r="D22" s="116"/>
      <c r="E22" s="116"/>
      <c r="F22" s="116"/>
      <c r="G22" s="116"/>
    </row>
    <row r="23" spans="1:9" ht="55.5" customHeight="1" thickBot="1" x14ac:dyDescent="0.25">
      <c r="A23" s="30" t="s">
        <v>0</v>
      </c>
      <c r="B23" s="30" t="s">
        <v>1</v>
      </c>
      <c r="C23" s="30" t="s">
        <v>2</v>
      </c>
      <c r="D23" s="31" t="s">
        <v>23</v>
      </c>
      <c r="E23" s="31" t="s">
        <v>3</v>
      </c>
      <c r="F23" s="31" t="s">
        <v>4</v>
      </c>
      <c r="G23" s="32" t="s">
        <v>5</v>
      </c>
    </row>
    <row r="24" spans="1:9" ht="15.75" thickBot="1" x14ac:dyDescent="0.25">
      <c r="A24" s="30">
        <v>1</v>
      </c>
      <c r="B24" s="30">
        <v>2</v>
      </c>
      <c r="C24" s="30">
        <v>3</v>
      </c>
      <c r="D24" s="30">
        <v>4</v>
      </c>
      <c r="E24" s="30">
        <v>5</v>
      </c>
      <c r="F24" s="30">
        <v>6</v>
      </c>
      <c r="G24" s="30">
        <v>7</v>
      </c>
    </row>
    <row r="25" spans="1:9" x14ac:dyDescent="0.2">
      <c r="A25" s="119" t="s">
        <v>357</v>
      </c>
      <c r="B25" s="120"/>
      <c r="C25" s="120"/>
      <c r="D25" s="120"/>
      <c r="E25" s="120"/>
      <c r="F25" s="120"/>
      <c r="G25" s="120"/>
    </row>
    <row r="26" spans="1:9" ht="27.75" x14ac:dyDescent="0.2">
      <c r="A26" s="22" t="s">
        <v>295</v>
      </c>
      <c r="B26" s="14" t="s">
        <v>363</v>
      </c>
      <c r="C26" s="20" t="s">
        <v>62</v>
      </c>
      <c r="D26" s="12">
        <f>((2.2*2.9)+(3.9*2.6)+(3.4*4.3)+(4.5*3.6)+(3.3*1.9)+(3.3*1.9))*0.8</f>
        <v>47.903999999999996</v>
      </c>
      <c r="E26" s="12" t="s">
        <v>370</v>
      </c>
      <c r="F26" s="13"/>
      <c r="G26" s="14"/>
      <c r="I26" s="110" t="s">
        <v>371</v>
      </c>
    </row>
    <row r="27" spans="1:9" x14ac:dyDescent="0.2">
      <c r="A27" s="104"/>
      <c r="B27" s="18" t="s">
        <v>366</v>
      </c>
      <c r="C27" s="50" t="s">
        <v>62</v>
      </c>
      <c r="D27" s="55">
        <f>47.9*1.15-8.262</f>
        <v>46.822999999999993</v>
      </c>
      <c r="E27" s="55" t="s">
        <v>438</v>
      </c>
      <c r="F27" s="13"/>
      <c r="G27" s="14" t="s">
        <v>381</v>
      </c>
      <c r="H27" s="110" t="s">
        <v>378</v>
      </c>
      <c r="I27" s="110" t="s">
        <v>376</v>
      </c>
    </row>
    <row r="28" spans="1:9" x14ac:dyDescent="0.2">
      <c r="A28" s="103"/>
      <c r="B28" s="18" t="s">
        <v>364</v>
      </c>
      <c r="C28" s="50" t="s">
        <v>62</v>
      </c>
      <c r="D28" s="55">
        <f>55.085*0.15</f>
        <v>8.2627500000000005</v>
      </c>
      <c r="E28" s="55" t="s">
        <v>437</v>
      </c>
      <c r="F28" s="13"/>
      <c r="G28" s="14" t="s">
        <v>365</v>
      </c>
      <c r="H28" s="110" t="s">
        <v>377</v>
      </c>
    </row>
    <row r="29" spans="1:9" x14ac:dyDescent="0.2">
      <c r="A29" s="103" t="s">
        <v>358</v>
      </c>
      <c r="B29" s="101"/>
      <c r="C29" s="101"/>
      <c r="D29" s="101"/>
      <c r="E29" s="101"/>
      <c r="F29" s="101"/>
      <c r="G29" s="14"/>
    </row>
    <row r="30" spans="1:9" x14ac:dyDescent="0.2">
      <c r="A30" s="111" t="s">
        <v>54</v>
      </c>
      <c r="B30" s="113"/>
      <c r="C30" s="49"/>
      <c r="D30" s="49"/>
      <c r="E30" s="49"/>
      <c r="F30" s="13"/>
      <c r="G30" s="14"/>
    </row>
    <row r="31" spans="1:9" x14ac:dyDescent="0.2">
      <c r="A31" s="61">
        <f>A26+1</f>
        <v>2</v>
      </c>
      <c r="B31" s="14" t="s">
        <v>55</v>
      </c>
      <c r="C31" s="20" t="s">
        <v>62</v>
      </c>
      <c r="D31" s="12">
        <f>0.14*13</f>
        <v>1.8200000000000003</v>
      </c>
      <c r="E31" s="12" t="s">
        <v>108</v>
      </c>
      <c r="F31" s="13" t="s">
        <v>128</v>
      </c>
      <c r="G31" s="14"/>
    </row>
    <row r="32" spans="1:9" x14ac:dyDescent="0.2">
      <c r="A32" s="22"/>
      <c r="B32" s="18" t="s">
        <v>57</v>
      </c>
      <c r="C32" s="50" t="s">
        <v>62</v>
      </c>
      <c r="D32" s="55">
        <f>0.14*13*1.02</f>
        <v>1.8564000000000003</v>
      </c>
      <c r="E32" s="55" t="s">
        <v>382</v>
      </c>
      <c r="F32" s="13"/>
      <c r="G32" s="14" t="s">
        <v>38</v>
      </c>
      <c r="I32" s="110" t="s">
        <v>372</v>
      </c>
    </row>
    <row r="33" spans="1:9" ht="27.75" x14ac:dyDescent="0.2">
      <c r="A33" s="61">
        <f>A31+1</f>
        <v>3</v>
      </c>
      <c r="B33" s="14" t="s">
        <v>56</v>
      </c>
      <c r="C33" s="20" t="s">
        <v>62</v>
      </c>
      <c r="D33" s="12">
        <f>0.8*13</f>
        <v>10.4</v>
      </c>
      <c r="E33" s="12" t="s">
        <v>109</v>
      </c>
      <c r="F33" s="13"/>
      <c r="G33" s="14"/>
    </row>
    <row r="34" spans="1:9" x14ac:dyDescent="0.2">
      <c r="A34" s="22"/>
      <c r="B34" s="18" t="s">
        <v>58</v>
      </c>
      <c r="C34" s="50" t="s">
        <v>62</v>
      </c>
      <c r="D34" s="55">
        <f>0.8*13*1.015</f>
        <v>10.555999999999999</v>
      </c>
      <c r="E34" s="55" t="s">
        <v>406</v>
      </c>
      <c r="F34" s="13"/>
      <c r="G34" s="14" t="s">
        <v>38</v>
      </c>
      <c r="I34" s="110" t="s">
        <v>373</v>
      </c>
    </row>
    <row r="35" spans="1:9" ht="27.75" x14ac:dyDescent="0.2">
      <c r="A35" s="22"/>
      <c r="B35" s="18" t="s">
        <v>119</v>
      </c>
      <c r="C35" s="50" t="s">
        <v>63</v>
      </c>
      <c r="D35" s="56">
        <f>(4*3.82+4*2.56)*13/1000</f>
        <v>0.33176</v>
      </c>
      <c r="E35" s="55" t="s">
        <v>110</v>
      </c>
      <c r="F35" s="13"/>
      <c r="G35" s="14" t="s">
        <v>66</v>
      </c>
    </row>
    <row r="36" spans="1:9" ht="27.75" x14ac:dyDescent="0.2">
      <c r="A36" s="22"/>
      <c r="B36" s="18" t="s">
        <v>118</v>
      </c>
      <c r="C36" s="50" t="s">
        <v>63</v>
      </c>
      <c r="D36" s="56">
        <f>(14*1.72+14*2.88)*13/1000</f>
        <v>0.83720000000000006</v>
      </c>
      <c r="E36" s="55" t="s">
        <v>111</v>
      </c>
      <c r="F36" s="13"/>
      <c r="G36" s="14" t="s">
        <v>66</v>
      </c>
    </row>
    <row r="37" spans="1:9" x14ac:dyDescent="0.2">
      <c r="A37" s="22"/>
      <c r="B37" s="18" t="s">
        <v>61</v>
      </c>
      <c r="C37" s="50" t="s">
        <v>63</v>
      </c>
      <c r="D37" s="56">
        <f>12*0.37*13/1000</f>
        <v>5.7719999999999994E-2</v>
      </c>
      <c r="E37" s="55" t="s">
        <v>120</v>
      </c>
      <c r="F37" s="13"/>
      <c r="G37" s="14" t="s">
        <v>39</v>
      </c>
    </row>
    <row r="38" spans="1:9" ht="27.75" x14ac:dyDescent="0.2">
      <c r="A38" s="22"/>
      <c r="B38" s="18" t="s">
        <v>117</v>
      </c>
      <c r="C38" s="50" t="s">
        <v>63</v>
      </c>
      <c r="D38" s="56">
        <f>(2*0.54+4*0.19)*13/1000</f>
        <v>2.392E-2</v>
      </c>
      <c r="E38" s="55" t="s">
        <v>121</v>
      </c>
      <c r="F38" s="13"/>
      <c r="G38" s="14" t="s">
        <v>39</v>
      </c>
    </row>
    <row r="39" spans="1:9" x14ac:dyDescent="0.2">
      <c r="A39" s="111" t="s">
        <v>64</v>
      </c>
      <c r="B39" s="113"/>
      <c r="C39" s="20"/>
      <c r="D39" s="21"/>
      <c r="E39" s="12"/>
      <c r="F39" s="13"/>
      <c r="G39" s="14"/>
    </row>
    <row r="40" spans="1:9" x14ac:dyDescent="0.2">
      <c r="A40" s="61">
        <f>A33+1</f>
        <v>4</v>
      </c>
      <c r="B40" s="14" t="s">
        <v>55</v>
      </c>
      <c r="C40" s="20" t="s">
        <v>62</v>
      </c>
      <c r="D40" s="12">
        <f>0.3</f>
        <v>0.3</v>
      </c>
      <c r="E40" s="12">
        <v>0.3</v>
      </c>
      <c r="F40" s="13" t="s">
        <v>128</v>
      </c>
      <c r="G40" s="14"/>
    </row>
    <row r="41" spans="1:9" x14ac:dyDescent="0.2">
      <c r="A41" s="22"/>
      <c r="B41" s="18" t="s">
        <v>57</v>
      </c>
      <c r="C41" s="50" t="s">
        <v>62</v>
      </c>
      <c r="D41" s="55">
        <f>0.3*1.02</f>
        <v>0.30599999999999999</v>
      </c>
      <c r="E41" s="55" t="s">
        <v>383</v>
      </c>
      <c r="F41" s="13"/>
      <c r="G41" s="14" t="s">
        <v>38</v>
      </c>
    </row>
    <row r="42" spans="1:9" ht="27.75" x14ac:dyDescent="0.2">
      <c r="A42" s="61">
        <f>A40+1</f>
        <v>5</v>
      </c>
      <c r="B42" s="14" t="s">
        <v>56</v>
      </c>
      <c r="C42" s="20" t="s">
        <v>62</v>
      </c>
      <c r="D42" s="12">
        <f>2.22</f>
        <v>2.2200000000000002</v>
      </c>
      <c r="E42" s="12">
        <v>2.2200000000000002</v>
      </c>
      <c r="F42" s="13"/>
      <c r="G42" s="14"/>
    </row>
    <row r="43" spans="1:9" x14ac:dyDescent="0.2">
      <c r="A43" s="22"/>
      <c r="B43" s="18" t="s">
        <v>58</v>
      </c>
      <c r="C43" s="50" t="s">
        <v>62</v>
      </c>
      <c r="D43" s="55">
        <f>2.22*1.015</f>
        <v>2.2532999999999999</v>
      </c>
      <c r="E43" s="55" t="s">
        <v>407</v>
      </c>
      <c r="F43" s="13"/>
      <c r="G43" s="14" t="s">
        <v>38</v>
      </c>
    </row>
    <row r="44" spans="1:9" ht="27.75" x14ac:dyDescent="0.2">
      <c r="A44" s="22"/>
      <c r="B44" s="18" t="s">
        <v>122</v>
      </c>
      <c r="C44" s="50" t="s">
        <v>63</v>
      </c>
      <c r="D44" s="63">
        <f>14*6.71/1000</f>
        <v>9.3939999999999996E-2</v>
      </c>
      <c r="E44" s="55" t="s">
        <v>112</v>
      </c>
      <c r="F44" s="13"/>
      <c r="G44" s="14" t="s">
        <v>66</v>
      </c>
    </row>
    <row r="45" spans="1:9" x14ac:dyDescent="0.2">
      <c r="A45" s="22"/>
      <c r="B45" s="18" t="s">
        <v>59</v>
      </c>
      <c r="C45" s="50" t="s">
        <v>63</v>
      </c>
      <c r="D45" s="63">
        <f>6*3.55/1000</f>
        <v>2.1299999999999996E-2</v>
      </c>
      <c r="E45" s="55" t="s">
        <v>113</v>
      </c>
      <c r="F45" s="13"/>
      <c r="G45" s="14" t="s">
        <v>66</v>
      </c>
    </row>
    <row r="46" spans="1:9" ht="27.75" x14ac:dyDescent="0.2">
      <c r="A46" s="22"/>
      <c r="B46" s="18" t="s">
        <v>119</v>
      </c>
      <c r="C46" s="50" t="s">
        <v>63</v>
      </c>
      <c r="D46" s="63">
        <f>(6*4.91+6*5.34)/1000</f>
        <v>6.1499999999999999E-2</v>
      </c>
      <c r="E46" s="55" t="s">
        <v>125</v>
      </c>
      <c r="F46" s="13"/>
      <c r="G46" s="14" t="s">
        <v>66</v>
      </c>
    </row>
    <row r="47" spans="1:9" ht="27.75" x14ac:dyDescent="0.2">
      <c r="A47" s="22"/>
      <c r="B47" s="18" t="s">
        <v>123</v>
      </c>
      <c r="C47" s="50" t="s">
        <v>63</v>
      </c>
      <c r="D47" s="63">
        <f>4*1.62/1000</f>
        <v>6.4800000000000005E-3</v>
      </c>
      <c r="E47" s="55" t="s">
        <v>114</v>
      </c>
      <c r="F47" s="13"/>
      <c r="G47" s="14" t="s">
        <v>66</v>
      </c>
    </row>
    <row r="48" spans="1:9" ht="27.75" x14ac:dyDescent="0.2">
      <c r="A48" s="22"/>
      <c r="B48" s="18" t="s">
        <v>124</v>
      </c>
      <c r="C48" s="50" t="s">
        <v>63</v>
      </c>
      <c r="D48" s="63">
        <f>(12*1.98+24*1.09+36*0.64)/1000</f>
        <v>7.2960000000000011E-2</v>
      </c>
      <c r="E48" s="56" t="s">
        <v>115</v>
      </c>
      <c r="F48" s="13"/>
      <c r="G48" s="14" t="s">
        <v>39</v>
      </c>
    </row>
    <row r="49" spans="1:8" ht="27.75" x14ac:dyDescent="0.2">
      <c r="A49" s="22"/>
      <c r="B49" s="18" t="s">
        <v>117</v>
      </c>
      <c r="C49" s="50" t="s">
        <v>63</v>
      </c>
      <c r="D49" s="63">
        <f>(2*0.39)/1000</f>
        <v>7.7999999999999999E-4</v>
      </c>
      <c r="E49" s="56" t="s">
        <v>116</v>
      </c>
      <c r="F49" s="13"/>
      <c r="G49" s="14" t="s">
        <v>39</v>
      </c>
    </row>
    <row r="50" spans="1:8" x14ac:dyDescent="0.2">
      <c r="A50" s="111" t="s">
        <v>359</v>
      </c>
      <c r="B50" s="112"/>
      <c r="C50" s="112"/>
      <c r="D50" s="112"/>
      <c r="E50" s="112"/>
      <c r="F50" s="112"/>
      <c r="G50" s="113"/>
    </row>
    <row r="51" spans="1:8" x14ac:dyDescent="0.2">
      <c r="A51" s="111" t="s">
        <v>67</v>
      </c>
      <c r="B51" s="113"/>
      <c r="C51" s="20"/>
      <c r="D51" s="21"/>
      <c r="E51" s="12"/>
      <c r="F51" s="13"/>
      <c r="G51" s="14"/>
    </row>
    <row r="52" spans="1:8" x14ac:dyDescent="0.2">
      <c r="A52" s="61">
        <f>A42+1</f>
        <v>6</v>
      </c>
      <c r="B52" s="14" t="s">
        <v>55</v>
      </c>
      <c r="C52" s="20" t="s">
        <v>62</v>
      </c>
      <c r="D52" s="21">
        <f>0.64</f>
        <v>0.64</v>
      </c>
      <c r="E52" s="12">
        <f>0.64</f>
        <v>0.64</v>
      </c>
      <c r="F52" s="13" t="s">
        <v>127</v>
      </c>
      <c r="G52" s="14"/>
    </row>
    <row r="53" spans="1:8" x14ac:dyDescent="0.2">
      <c r="A53" s="22"/>
      <c r="B53" s="18" t="s">
        <v>57</v>
      </c>
      <c r="C53" s="50" t="s">
        <v>62</v>
      </c>
      <c r="D53" s="52">
        <f>0.64*1.02</f>
        <v>0.65280000000000005</v>
      </c>
      <c r="E53" s="55" t="s">
        <v>384</v>
      </c>
      <c r="F53" s="13"/>
      <c r="G53" s="14" t="s">
        <v>38</v>
      </c>
    </row>
    <row r="54" spans="1:8" ht="27.75" x14ac:dyDescent="0.2">
      <c r="A54" s="61">
        <f>A52+1</f>
        <v>7</v>
      </c>
      <c r="B54" s="14" t="s">
        <v>68</v>
      </c>
      <c r="C54" s="20" t="s">
        <v>62</v>
      </c>
      <c r="D54" s="21">
        <f>5.94</f>
        <v>5.94</v>
      </c>
      <c r="E54" s="12">
        <f>5.94</f>
        <v>5.94</v>
      </c>
      <c r="F54" s="13"/>
      <c r="G54" s="14"/>
    </row>
    <row r="55" spans="1:8" x14ac:dyDescent="0.2">
      <c r="A55" s="22"/>
      <c r="B55" s="18" t="s">
        <v>58</v>
      </c>
      <c r="C55" s="50" t="s">
        <v>62</v>
      </c>
      <c r="D55" s="51">
        <f>5.94*1.015</f>
        <v>6.0290999999999997</v>
      </c>
      <c r="E55" s="55" t="s">
        <v>427</v>
      </c>
      <c r="F55" s="13"/>
      <c r="G55" s="14" t="s">
        <v>38</v>
      </c>
    </row>
    <row r="56" spans="1:8" x14ac:dyDescent="0.2">
      <c r="A56" s="22"/>
      <c r="B56" s="18" t="s">
        <v>60</v>
      </c>
      <c r="C56" s="50" t="s">
        <v>63</v>
      </c>
      <c r="D56" s="63">
        <f>30*2.35/1000</f>
        <v>7.0499999999999993E-2</v>
      </c>
      <c r="E56" s="55" t="s">
        <v>129</v>
      </c>
      <c r="F56" s="13"/>
      <c r="G56" s="14" t="s">
        <v>66</v>
      </c>
    </row>
    <row r="57" spans="1:8" ht="27.75" x14ac:dyDescent="0.2">
      <c r="A57" s="22"/>
      <c r="B57" s="18" t="s">
        <v>123</v>
      </c>
      <c r="C57" s="50" t="s">
        <v>63</v>
      </c>
      <c r="D57" s="63">
        <f>28*2.75/1000</f>
        <v>7.6999999999999999E-2</v>
      </c>
      <c r="E57" s="55" t="s">
        <v>130</v>
      </c>
      <c r="F57" s="13"/>
      <c r="G57" s="14" t="s">
        <v>66</v>
      </c>
    </row>
    <row r="58" spans="1:8" ht="41.25" x14ac:dyDescent="0.2">
      <c r="A58" s="22" t="s">
        <v>296</v>
      </c>
      <c r="B58" s="14" t="s">
        <v>159</v>
      </c>
      <c r="C58" s="20" t="s">
        <v>63</v>
      </c>
      <c r="D58" s="73">
        <f>35.5*2/1000</f>
        <v>7.0999999999999994E-2</v>
      </c>
      <c r="E58" s="12" t="s">
        <v>131</v>
      </c>
      <c r="F58" s="13" t="s">
        <v>69</v>
      </c>
      <c r="G58" s="14"/>
      <c r="H58" s="83"/>
    </row>
    <row r="59" spans="1:8" x14ac:dyDescent="0.2">
      <c r="A59" s="72"/>
      <c r="B59" s="18" t="s">
        <v>140</v>
      </c>
      <c r="C59" s="20" t="s">
        <v>63</v>
      </c>
      <c r="D59" s="63">
        <f>35.5*2/1000</f>
        <v>7.0999999999999994E-2</v>
      </c>
      <c r="E59" s="55" t="s">
        <v>131</v>
      </c>
      <c r="F59" s="13"/>
      <c r="G59" s="14" t="s">
        <v>66</v>
      </c>
    </row>
    <row r="60" spans="1:8" x14ac:dyDescent="0.2">
      <c r="A60" s="111" t="s">
        <v>70</v>
      </c>
      <c r="B60" s="113"/>
      <c r="C60" s="20"/>
      <c r="D60" s="21"/>
      <c r="E60" s="12"/>
      <c r="F60" s="13"/>
      <c r="G60" s="14"/>
    </row>
    <row r="61" spans="1:8" x14ac:dyDescent="0.2">
      <c r="A61" s="61">
        <f>A54+1</f>
        <v>8</v>
      </c>
      <c r="B61" s="14" t="s">
        <v>55</v>
      </c>
      <c r="C61" s="20" t="s">
        <v>62</v>
      </c>
      <c r="D61" s="21">
        <v>1.01</v>
      </c>
      <c r="E61" s="12">
        <v>1.01</v>
      </c>
      <c r="F61" s="13" t="s">
        <v>127</v>
      </c>
      <c r="G61" s="14"/>
    </row>
    <row r="62" spans="1:8" x14ac:dyDescent="0.2">
      <c r="A62" s="22"/>
      <c r="B62" s="18" t="s">
        <v>57</v>
      </c>
      <c r="C62" s="50" t="s">
        <v>62</v>
      </c>
      <c r="D62" s="51">
        <f>1.01*1.02</f>
        <v>1.0302</v>
      </c>
      <c r="E62" s="55" t="s">
        <v>385</v>
      </c>
      <c r="F62" s="13"/>
      <c r="G62" s="14" t="s">
        <v>38</v>
      </c>
    </row>
    <row r="63" spans="1:8" ht="27.75" x14ac:dyDescent="0.2">
      <c r="A63" s="61">
        <f>A61+1</f>
        <v>9</v>
      </c>
      <c r="B63" s="14" t="s">
        <v>68</v>
      </c>
      <c r="C63" s="20" t="s">
        <v>62</v>
      </c>
      <c r="D63" s="21">
        <v>9.77</v>
      </c>
      <c r="E63" s="12">
        <v>9.77</v>
      </c>
      <c r="F63" s="13"/>
      <c r="G63" s="14"/>
    </row>
    <row r="64" spans="1:8" x14ac:dyDescent="0.2">
      <c r="A64" s="22"/>
      <c r="B64" s="18" t="s">
        <v>58</v>
      </c>
      <c r="C64" s="50" t="s">
        <v>62</v>
      </c>
      <c r="D64" s="51">
        <f>9.77*1.015</f>
        <v>9.9165499999999991</v>
      </c>
      <c r="E64" s="55" t="s">
        <v>408</v>
      </c>
      <c r="F64" s="13"/>
      <c r="G64" s="14" t="s">
        <v>38</v>
      </c>
    </row>
    <row r="65" spans="1:8" x14ac:dyDescent="0.2">
      <c r="A65" s="22"/>
      <c r="B65" s="18" t="s">
        <v>60</v>
      </c>
      <c r="C65" s="50" t="s">
        <v>63</v>
      </c>
      <c r="D65" s="63">
        <f>34*3.24/1000</f>
        <v>0.11016000000000001</v>
      </c>
      <c r="E65" s="55" t="s">
        <v>132</v>
      </c>
      <c r="F65" s="13"/>
      <c r="G65" s="14" t="s">
        <v>66</v>
      </c>
    </row>
    <row r="66" spans="1:8" ht="27.75" x14ac:dyDescent="0.2">
      <c r="A66" s="22"/>
      <c r="B66" s="18" t="s">
        <v>123</v>
      </c>
      <c r="C66" s="50" t="s">
        <v>63</v>
      </c>
      <c r="D66" s="63">
        <f>38*3.11/1000</f>
        <v>0.11817999999999999</v>
      </c>
      <c r="E66" s="55" t="s">
        <v>133</v>
      </c>
      <c r="F66" s="13"/>
      <c r="G66" s="14" t="s">
        <v>66</v>
      </c>
    </row>
    <row r="67" spans="1:8" ht="41.25" x14ac:dyDescent="0.2">
      <c r="A67" s="22" t="s">
        <v>297</v>
      </c>
      <c r="B67" s="14" t="s">
        <v>160</v>
      </c>
      <c r="C67" s="20" t="s">
        <v>63</v>
      </c>
      <c r="D67" s="73">
        <f>3*41.83/1000</f>
        <v>0.12548999999999999</v>
      </c>
      <c r="E67" s="12" t="s">
        <v>134</v>
      </c>
      <c r="F67" s="13" t="s">
        <v>69</v>
      </c>
      <c r="G67" s="14"/>
      <c r="H67" s="83"/>
    </row>
    <row r="68" spans="1:8" x14ac:dyDescent="0.2">
      <c r="A68" s="72"/>
      <c r="B68" s="18" t="s">
        <v>141</v>
      </c>
      <c r="C68" s="20" t="s">
        <v>63</v>
      </c>
      <c r="D68" s="63">
        <f>3*41.83/1000</f>
        <v>0.12548999999999999</v>
      </c>
      <c r="E68" s="55" t="s">
        <v>134</v>
      </c>
      <c r="F68" s="13"/>
      <c r="G68" s="14" t="s">
        <v>66</v>
      </c>
    </row>
    <row r="69" spans="1:8" x14ac:dyDescent="0.2">
      <c r="A69" s="111" t="s">
        <v>71</v>
      </c>
      <c r="B69" s="113"/>
      <c r="C69" s="20"/>
      <c r="D69" s="21"/>
      <c r="E69" s="12"/>
      <c r="F69" s="13"/>
      <c r="G69" s="14"/>
    </row>
    <row r="70" spans="1:8" x14ac:dyDescent="0.2">
      <c r="A70" s="61">
        <f>A63+1</f>
        <v>10</v>
      </c>
      <c r="B70" s="14" t="s">
        <v>55</v>
      </c>
      <c r="C70" s="20" t="s">
        <v>62</v>
      </c>
      <c r="D70" s="21">
        <f>1.46</f>
        <v>1.46</v>
      </c>
      <c r="E70" s="12">
        <f>1.46</f>
        <v>1.46</v>
      </c>
      <c r="F70" s="13" t="s">
        <v>135</v>
      </c>
      <c r="G70" s="14"/>
    </row>
    <row r="71" spans="1:8" x14ac:dyDescent="0.2">
      <c r="A71" s="22"/>
      <c r="B71" s="18" t="s">
        <v>57</v>
      </c>
      <c r="C71" s="50" t="s">
        <v>62</v>
      </c>
      <c r="D71" s="51">
        <f>1.46*1.02</f>
        <v>1.4892000000000001</v>
      </c>
      <c r="E71" s="55" t="s">
        <v>386</v>
      </c>
      <c r="F71" s="13"/>
      <c r="G71" s="14" t="s">
        <v>38</v>
      </c>
    </row>
    <row r="72" spans="1:8" ht="27.75" x14ac:dyDescent="0.2">
      <c r="A72" s="61">
        <f>A70+1</f>
        <v>11</v>
      </c>
      <c r="B72" s="14" t="s">
        <v>68</v>
      </c>
      <c r="C72" s="20" t="s">
        <v>62</v>
      </c>
      <c r="D72" s="21">
        <f>11.64</f>
        <v>11.64</v>
      </c>
      <c r="E72" s="12">
        <f>11.64</f>
        <v>11.64</v>
      </c>
      <c r="F72" s="13"/>
      <c r="G72" s="14"/>
    </row>
    <row r="73" spans="1:8" x14ac:dyDescent="0.2">
      <c r="A73" s="22"/>
      <c r="B73" s="18" t="s">
        <v>58</v>
      </c>
      <c r="C73" s="50" t="s">
        <v>62</v>
      </c>
      <c r="D73" s="51">
        <f>11.64*1.015</f>
        <v>11.814599999999999</v>
      </c>
      <c r="E73" s="55" t="s">
        <v>426</v>
      </c>
      <c r="F73" s="13"/>
      <c r="G73" s="14" t="s">
        <v>38</v>
      </c>
    </row>
    <row r="74" spans="1:8" ht="27.75" x14ac:dyDescent="0.2">
      <c r="A74" s="22"/>
      <c r="B74" s="18" t="s">
        <v>119</v>
      </c>
      <c r="C74" s="50" t="s">
        <v>63</v>
      </c>
      <c r="D74" s="63">
        <f>32*1.97/1000</f>
        <v>6.3039999999999999E-2</v>
      </c>
      <c r="E74" s="55" t="s">
        <v>156</v>
      </c>
      <c r="F74" s="13"/>
      <c r="G74" s="14" t="s">
        <v>66</v>
      </c>
    </row>
    <row r="75" spans="1:8" x14ac:dyDescent="0.2">
      <c r="A75" s="22"/>
      <c r="B75" s="18" t="s">
        <v>72</v>
      </c>
      <c r="C75" s="50" t="s">
        <v>63</v>
      </c>
      <c r="D75" s="63">
        <f>(22*4.89+28*3.81)/1000</f>
        <v>0.21425999999999998</v>
      </c>
      <c r="E75" s="55" t="s">
        <v>137</v>
      </c>
      <c r="F75" s="13"/>
      <c r="G75" s="14" t="s">
        <v>66</v>
      </c>
    </row>
    <row r="76" spans="1:8" ht="27.75" x14ac:dyDescent="0.2">
      <c r="A76" s="22"/>
      <c r="B76" s="18" t="s">
        <v>136</v>
      </c>
      <c r="C76" s="50" t="s">
        <v>63</v>
      </c>
      <c r="D76" s="63">
        <f>(28*2.62+22*2.57)/1000</f>
        <v>0.12990000000000002</v>
      </c>
      <c r="E76" s="55" t="s">
        <v>138</v>
      </c>
      <c r="F76" s="13"/>
      <c r="G76" s="14" t="s">
        <v>66</v>
      </c>
    </row>
    <row r="77" spans="1:8" ht="27.75" x14ac:dyDescent="0.2">
      <c r="A77" s="22"/>
      <c r="B77" s="18" t="s">
        <v>117</v>
      </c>
      <c r="C77" s="50" t="s">
        <v>63</v>
      </c>
      <c r="D77" s="63">
        <f>16*0.56/1000</f>
        <v>8.9600000000000009E-3</v>
      </c>
      <c r="E77" s="56" t="s">
        <v>139</v>
      </c>
      <c r="F77" s="13"/>
      <c r="G77" s="14" t="s">
        <v>39</v>
      </c>
    </row>
    <row r="78" spans="1:8" ht="41.25" x14ac:dyDescent="0.2">
      <c r="A78" s="22" t="s">
        <v>298</v>
      </c>
      <c r="B78" s="14" t="s">
        <v>161</v>
      </c>
      <c r="C78" s="20" t="s">
        <v>63</v>
      </c>
      <c r="D78" s="73">
        <f>3*48.48/1000</f>
        <v>0.14543999999999999</v>
      </c>
      <c r="E78" s="12" t="s">
        <v>142</v>
      </c>
      <c r="F78" s="13" t="s">
        <v>69</v>
      </c>
      <c r="G78" s="14"/>
      <c r="H78" s="83"/>
    </row>
    <row r="79" spans="1:8" x14ac:dyDescent="0.2">
      <c r="A79" s="22"/>
      <c r="B79" s="18" t="s">
        <v>143</v>
      </c>
      <c r="C79" s="20" t="s">
        <v>63</v>
      </c>
      <c r="D79" s="63">
        <f>3*48.48/1000</f>
        <v>0.14543999999999999</v>
      </c>
      <c r="E79" s="55" t="s">
        <v>142</v>
      </c>
      <c r="F79" s="13"/>
      <c r="G79" s="14" t="s">
        <v>66</v>
      </c>
    </row>
    <row r="80" spans="1:8" x14ac:dyDescent="0.2">
      <c r="A80" s="61">
        <f>A72+1</f>
        <v>12</v>
      </c>
      <c r="B80" s="14" t="s">
        <v>76</v>
      </c>
      <c r="C80" s="20" t="s">
        <v>63</v>
      </c>
      <c r="D80" s="73">
        <f>(386.6+4*10.17)/1000</f>
        <v>0.42728000000000005</v>
      </c>
      <c r="E80" s="12" t="s">
        <v>145</v>
      </c>
      <c r="F80" s="13"/>
      <c r="G80" s="14"/>
    </row>
    <row r="81" spans="1:10" x14ac:dyDescent="0.2">
      <c r="A81" s="22" t="s">
        <v>299</v>
      </c>
      <c r="B81" s="57" t="s">
        <v>348</v>
      </c>
      <c r="C81" s="20" t="s">
        <v>63</v>
      </c>
      <c r="D81" s="73">
        <f>386.6/1000</f>
        <v>0.3866</v>
      </c>
      <c r="E81" s="12" t="s">
        <v>144</v>
      </c>
      <c r="F81" s="13" t="s">
        <v>73</v>
      </c>
      <c r="G81" s="14"/>
      <c r="H81" s="74"/>
    </row>
    <row r="82" spans="1:10" x14ac:dyDescent="0.2">
      <c r="A82" s="22"/>
      <c r="B82" s="18" t="s">
        <v>150</v>
      </c>
      <c r="C82" s="50" t="s">
        <v>63</v>
      </c>
      <c r="D82" s="63">
        <f>20*1.81/1000</f>
        <v>3.6200000000000003E-2</v>
      </c>
      <c r="E82" s="55" t="s">
        <v>146</v>
      </c>
      <c r="F82" s="13"/>
      <c r="G82" s="14" t="s">
        <v>75</v>
      </c>
    </row>
    <row r="83" spans="1:10" x14ac:dyDescent="0.2">
      <c r="A83" s="22"/>
      <c r="B83" s="18" t="s">
        <v>151</v>
      </c>
      <c r="C83" s="50" t="s">
        <v>63</v>
      </c>
      <c r="D83" s="63">
        <f>330.09/1000</f>
        <v>0.33008999999999999</v>
      </c>
      <c r="E83" s="55" t="s">
        <v>147</v>
      </c>
      <c r="F83" s="13"/>
      <c r="G83" s="14" t="s">
        <v>74</v>
      </c>
    </row>
    <row r="84" spans="1:10" x14ac:dyDescent="0.2">
      <c r="A84" s="22"/>
      <c r="B84" s="18" t="s">
        <v>152</v>
      </c>
      <c r="C84" s="50" t="s">
        <v>63</v>
      </c>
      <c r="D84" s="63">
        <f>48*0.42/1000</f>
        <v>2.0160000000000001E-2</v>
      </c>
      <c r="E84" s="55" t="s">
        <v>148</v>
      </c>
      <c r="F84" s="13"/>
      <c r="G84" s="14" t="s">
        <v>66</v>
      </c>
    </row>
    <row r="85" spans="1:10" x14ac:dyDescent="0.2">
      <c r="A85" s="72" t="s">
        <v>300</v>
      </c>
      <c r="B85" s="57" t="s">
        <v>349</v>
      </c>
      <c r="C85" s="20" t="s">
        <v>63</v>
      </c>
      <c r="D85" s="73">
        <f>4*10.17/1000</f>
        <v>4.0680000000000001E-2</v>
      </c>
      <c r="E85" s="12" t="s">
        <v>149</v>
      </c>
      <c r="F85" s="13" t="s">
        <v>73</v>
      </c>
      <c r="G85" s="14"/>
    </row>
    <row r="86" spans="1:10" x14ac:dyDescent="0.2">
      <c r="A86" s="72"/>
      <c r="B86" s="18" t="s">
        <v>341</v>
      </c>
      <c r="C86" s="50" t="s">
        <v>63</v>
      </c>
      <c r="D86" s="63">
        <f>8.48*4/1000</f>
        <v>3.3919999999999999E-2</v>
      </c>
      <c r="E86" s="55" t="s">
        <v>153</v>
      </c>
      <c r="F86" s="13"/>
      <c r="G86" s="14" t="s">
        <v>74</v>
      </c>
    </row>
    <row r="87" spans="1:10" x14ac:dyDescent="0.2">
      <c r="A87" s="72"/>
      <c r="B87" s="18" t="s">
        <v>342</v>
      </c>
      <c r="C87" s="50" t="s">
        <v>63</v>
      </c>
      <c r="D87" s="63">
        <f>4*0.42*4/1000</f>
        <v>6.7199999999999994E-3</v>
      </c>
      <c r="E87" s="55" t="s">
        <v>154</v>
      </c>
      <c r="F87" s="13"/>
      <c r="G87" s="14" t="s">
        <v>66</v>
      </c>
    </row>
    <row r="88" spans="1:10" x14ac:dyDescent="0.2">
      <c r="A88" s="111" t="s">
        <v>77</v>
      </c>
      <c r="B88" s="113"/>
      <c r="C88" s="20"/>
      <c r="D88" s="21"/>
      <c r="E88" s="12"/>
      <c r="F88" s="13"/>
      <c r="G88" s="14"/>
    </row>
    <row r="89" spans="1:10" x14ac:dyDescent="0.2">
      <c r="A89" s="61">
        <f>A80+1</f>
        <v>13</v>
      </c>
      <c r="B89" s="14" t="s">
        <v>55</v>
      </c>
      <c r="C89" s="20" t="s">
        <v>62</v>
      </c>
      <c r="D89" s="12">
        <f>1.62</f>
        <v>1.62</v>
      </c>
      <c r="E89" s="12">
        <v>1.62</v>
      </c>
      <c r="F89" s="13" t="s">
        <v>135</v>
      </c>
      <c r="G89" s="14"/>
    </row>
    <row r="90" spans="1:10" x14ac:dyDescent="0.2">
      <c r="A90" s="61"/>
      <c r="B90" s="18" t="s">
        <v>57</v>
      </c>
      <c r="C90" s="50" t="s">
        <v>62</v>
      </c>
      <c r="D90" s="55">
        <f>1.62*1.02</f>
        <v>1.6524000000000001</v>
      </c>
      <c r="E90" s="55" t="s">
        <v>387</v>
      </c>
      <c r="F90" s="13"/>
      <c r="G90" s="14" t="s">
        <v>38</v>
      </c>
    </row>
    <row r="91" spans="1:10" ht="27.75" x14ac:dyDescent="0.2">
      <c r="A91" s="61">
        <f>A89+1</f>
        <v>14</v>
      </c>
      <c r="B91" s="14" t="s">
        <v>68</v>
      </c>
      <c r="C91" s="20" t="s">
        <v>62</v>
      </c>
      <c r="D91" s="12">
        <f>13.12</f>
        <v>13.12</v>
      </c>
      <c r="E91" s="12">
        <v>13.12</v>
      </c>
      <c r="F91" s="13"/>
      <c r="G91" s="14"/>
    </row>
    <row r="92" spans="1:10" x14ac:dyDescent="0.2">
      <c r="A92" s="61"/>
      <c r="B92" s="18" t="s">
        <v>58</v>
      </c>
      <c r="C92" s="50" t="s">
        <v>62</v>
      </c>
      <c r="D92" s="55">
        <f>13.12*1.015</f>
        <v>13.316799999999997</v>
      </c>
      <c r="E92" s="55" t="s">
        <v>409</v>
      </c>
      <c r="F92" s="13"/>
      <c r="G92" s="14" t="s">
        <v>38</v>
      </c>
    </row>
    <row r="93" spans="1:10" ht="27.75" x14ac:dyDescent="0.2">
      <c r="A93" s="61"/>
      <c r="B93" s="18" t="s">
        <v>119</v>
      </c>
      <c r="C93" s="50" t="s">
        <v>63</v>
      </c>
      <c r="D93" s="56">
        <f>32*1.97/1000</f>
        <v>6.3039999999999999E-2</v>
      </c>
      <c r="E93" s="55" t="s">
        <v>156</v>
      </c>
      <c r="F93" s="13"/>
      <c r="G93" s="14" t="s">
        <v>66</v>
      </c>
      <c r="H93" s="83"/>
      <c r="J93" s="83"/>
    </row>
    <row r="94" spans="1:10" x14ac:dyDescent="0.2">
      <c r="A94" s="61"/>
      <c r="B94" s="18" t="s">
        <v>72</v>
      </c>
      <c r="C94" s="50" t="s">
        <v>63</v>
      </c>
      <c r="D94" s="56">
        <f>(23*5.14+29*4.05)/1000</f>
        <v>0.23566999999999999</v>
      </c>
      <c r="E94" s="55" t="s">
        <v>157</v>
      </c>
      <c r="F94" s="13"/>
      <c r="G94" s="14" t="s">
        <v>66</v>
      </c>
      <c r="H94" s="83"/>
      <c r="J94" s="83"/>
    </row>
    <row r="95" spans="1:10" ht="27.75" x14ac:dyDescent="0.2">
      <c r="A95" s="84"/>
      <c r="B95" s="18" t="s">
        <v>136</v>
      </c>
      <c r="C95" s="50" t="s">
        <v>63</v>
      </c>
      <c r="D95" s="56">
        <f>(29*2.62+23*2.57)/1000</f>
        <v>0.13509000000000002</v>
      </c>
      <c r="E95" s="55" t="s">
        <v>155</v>
      </c>
      <c r="F95" s="13"/>
      <c r="G95" s="14" t="s">
        <v>66</v>
      </c>
      <c r="H95" s="83"/>
      <c r="J95" s="83"/>
    </row>
    <row r="96" spans="1:10" ht="27.75" x14ac:dyDescent="0.2">
      <c r="A96" s="22"/>
      <c r="B96" s="18" t="s">
        <v>117</v>
      </c>
      <c r="C96" s="50" t="s">
        <v>63</v>
      </c>
      <c r="D96" s="56">
        <f>16*0.56/1000</f>
        <v>8.9600000000000009E-3</v>
      </c>
      <c r="E96" s="55" t="s">
        <v>139</v>
      </c>
      <c r="F96" s="13"/>
      <c r="G96" s="14" t="s">
        <v>39</v>
      </c>
      <c r="H96" s="83"/>
      <c r="J96" s="83"/>
    </row>
    <row r="97" spans="1:10" ht="41.25" x14ac:dyDescent="0.2">
      <c r="A97" s="22" t="s">
        <v>301</v>
      </c>
      <c r="B97" s="14" t="s">
        <v>158</v>
      </c>
      <c r="C97" s="20" t="s">
        <v>63</v>
      </c>
      <c r="D97" s="73">
        <f>3*48.48/1000</f>
        <v>0.14543999999999999</v>
      </c>
      <c r="E97" s="12" t="s">
        <v>142</v>
      </c>
      <c r="F97" s="13" t="s">
        <v>69</v>
      </c>
      <c r="G97" s="14"/>
      <c r="H97" s="83"/>
      <c r="J97" s="83"/>
    </row>
    <row r="98" spans="1:10" x14ac:dyDescent="0.2">
      <c r="A98" s="22"/>
      <c r="B98" s="18" t="s">
        <v>162</v>
      </c>
      <c r="C98" s="50" t="s">
        <v>63</v>
      </c>
      <c r="D98" s="63">
        <f>3*48.48/1000</f>
        <v>0.14543999999999999</v>
      </c>
      <c r="E98" s="55" t="s">
        <v>142</v>
      </c>
      <c r="F98" s="13"/>
      <c r="G98" s="14" t="s">
        <v>66</v>
      </c>
      <c r="H98" s="83"/>
      <c r="J98" s="83"/>
    </row>
    <row r="99" spans="1:10" x14ac:dyDescent="0.2">
      <c r="A99" s="61">
        <f>A91+1</f>
        <v>15</v>
      </c>
      <c r="B99" s="14" t="s">
        <v>76</v>
      </c>
      <c r="C99" s="20" t="s">
        <v>63</v>
      </c>
      <c r="D99" s="73">
        <f>(347.13+4*10.17)/1000</f>
        <v>0.38780999999999999</v>
      </c>
      <c r="E99" s="12" t="s">
        <v>164</v>
      </c>
      <c r="F99" s="13"/>
      <c r="G99" s="14"/>
      <c r="H99" s="83"/>
      <c r="J99" s="83"/>
    </row>
    <row r="100" spans="1:10" x14ac:dyDescent="0.2">
      <c r="A100" s="22" t="s">
        <v>302</v>
      </c>
      <c r="B100" s="57" t="s">
        <v>350</v>
      </c>
      <c r="C100" s="20" t="s">
        <v>63</v>
      </c>
      <c r="D100" s="73">
        <f>347.13/1000</f>
        <v>0.34712999999999999</v>
      </c>
      <c r="E100" s="12" t="s">
        <v>163</v>
      </c>
      <c r="F100" s="13" t="s">
        <v>73</v>
      </c>
      <c r="G100" s="14"/>
      <c r="H100" s="83"/>
      <c r="J100" s="83"/>
    </row>
    <row r="101" spans="1:10" x14ac:dyDescent="0.2">
      <c r="A101" s="22"/>
      <c r="B101" s="18" t="s">
        <v>150</v>
      </c>
      <c r="C101" s="50" t="s">
        <v>63</v>
      </c>
      <c r="D101" s="63">
        <f>24*1.81/1000</f>
        <v>4.3439999999999999E-2</v>
      </c>
      <c r="E101" s="55" t="s">
        <v>165</v>
      </c>
      <c r="F101" s="13"/>
      <c r="G101" s="14" t="s">
        <v>75</v>
      </c>
      <c r="H101" s="83"/>
      <c r="J101" s="83"/>
    </row>
    <row r="102" spans="1:10" x14ac:dyDescent="0.2">
      <c r="A102" s="22"/>
      <c r="B102" s="18" t="s">
        <v>340</v>
      </c>
      <c r="C102" s="50" t="s">
        <v>63</v>
      </c>
      <c r="D102" s="63">
        <f>283.39/1000</f>
        <v>0.28338999999999998</v>
      </c>
      <c r="E102" s="55" t="s">
        <v>166</v>
      </c>
      <c r="F102" s="13"/>
      <c r="G102" s="14" t="s">
        <v>74</v>
      </c>
      <c r="H102" s="83"/>
      <c r="J102" s="83"/>
    </row>
    <row r="103" spans="1:10" x14ac:dyDescent="0.2">
      <c r="A103" s="22"/>
      <c r="B103" s="18" t="s">
        <v>152</v>
      </c>
      <c r="C103" s="50" t="s">
        <v>63</v>
      </c>
      <c r="D103" s="63">
        <f>48*0.42/1000</f>
        <v>2.0160000000000001E-2</v>
      </c>
      <c r="E103" s="55" t="s">
        <v>148</v>
      </c>
      <c r="F103" s="13"/>
      <c r="G103" s="14" t="s">
        <v>66</v>
      </c>
      <c r="H103" s="83"/>
      <c r="J103" s="83"/>
    </row>
    <row r="104" spans="1:10" x14ac:dyDescent="0.2">
      <c r="A104" s="22" t="s">
        <v>303</v>
      </c>
      <c r="B104" s="57" t="s">
        <v>349</v>
      </c>
      <c r="C104" s="20" t="s">
        <v>63</v>
      </c>
      <c r="D104" s="73">
        <f>4*10.17/1000</f>
        <v>4.0680000000000001E-2</v>
      </c>
      <c r="E104" s="12" t="s">
        <v>149</v>
      </c>
      <c r="F104" s="13" t="s">
        <v>73</v>
      </c>
      <c r="G104" s="14"/>
      <c r="H104" s="83"/>
      <c r="J104" s="83"/>
    </row>
    <row r="105" spans="1:10" x14ac:dyDescent="0.2">
      <c r="A105" s="22"/>
      <c r="B105" s="18" t="s">
        <v>341</v>
      </c>
      <c r="C105" s="50" t="s">
        <v>63</v>
      </c>
      <c r="D105" s="63">
        <f>8.48*4/1000</f>
        <v>3.3919999999999999E-2</v>
      </c>
      <c r="E105" s="55" t="s">
        <v>153</v>
      </c>
      <c r="F105" s="13"/>
      <c r="G105" s="14" t="s">
        <v>74</v>
      </c>
      <c r="H105" s="83"/>
      <c r="J105" s="83"/>
    </row>
    <row r="106" spans="1:10" x14ac:dyDescent="0.2">
      <c r="A106" s="22"/>
      <c r="B106" s="18" t="s">
        <v>342</v>
      </c>
      <c r="C106" s="50" t="s">
        <v>63</v>
      </c>
      <c r="D106" s="63">
        <f>4*0.42*4/1000</f>
        <v>6.7199999999999994E-3</v>
      </c>
      <c r="E106" s="55" t="s">
        <v>154</v>
      </c>
      <c r="F106" s="13"/>
      <c r="G106" s="14" t="s">
        <v>66</v>
      </c>
      <c r="H106" s="83"/>
      <c r="J106" s="83"/>
    </row>
    <row r="107" spans="1:10" x14ac:dyDescent="0.2">
      <c r="A107" s="111" t="s">
        <v>78</v>
      </c>
      <c r="B107" s="113"/>
      <c r="C107" s="20"/>
      <c r="D107" s="21"/>
      <c r="E107" s="12"/>
      <c r="F107" s="13"/>
      <c r="G107" s="14"/>
      <c r="H107" s="83"/>
      <c r="J107" s="83"/>
    </row>
    <row r="108" spans="1:10" x14ac:dyDescent="0.2">
      <c r="A108" s="61">
        <f>A99+1</f>
        <v>16</v>
      </c>
      <c r="B108" s="14" t="s">
        <v>55</v>
      </c>
      <c r="C108" s="20" t="s">
        <v>62</v>
      </c>
      <c r="D108" s="12">
        <f>0.63*2</f>
        <v>1.26</v>
      </c>
      <c r="E108" s="12">
        <f>0.63*2</f>
        <v>1.26</v>
      </c>
      <c r="F108" s="13" t="s">
        <v>167</v>
      </c>
      <c r="G108" s="14"/>
      <c r="H108" s="83"/>
      <c r="J108" s="83"/>
    </row>
    <row r="109" spans="1:10" x14ac:dyDescent="0.2">
      <c r="A109" s="61"/>
      <c r="B109" s="18" t="s">
        <v>57</v>
      </c>
      <c r="C109" s="50" t="s">
        <v>62</v>
      </c>
      <c r="D109" s="55">
        <f>0.63*2*1.02</f>
        <v>1.2852000000000001</v>
      </c>
      <c r="E109" s="55" t="s">
        <v>388</v>
      </c>
      <c r="F109" s="13"/>
      <c r="G109" s="14" t="s">
        <v>38</v>
      </c>
      <c r="H109" s="83"/>
      <c r="J109" s="83"/>
    </row>
    <row r="110" spans="1:10" ht="27.75" x14ac:dyDescent="0.2">
      <c r="A110" s="61">
        <f>A108+1</f>
        <v>17</v>
      </c>
      <c r="B110" s="14" t="s">
        <v>79</v>
      </c>
      <c r="C110" s="20" t="s">
        <v>62</v>
      </c>
      <c r="D110" s="12">
        <f>4.66*2</f>
        <v>9.32</v>
      </c>
      <c r="E110" s="12">
        <f>4.66*2</f>
        <v>9.32</v>
      </c>
      <c r="F110" s="13"/>
      <c r="G110" s="14"/>
      <c r="H110" s="83"/>
      <c r="J110" s="83"/>
    </row>
    <row r="111" spans="1:10" x14ac:dyDescent="0.2">
      <c r="A111" s="61"/>
      <c r="B111" s="18" t="s">
        <v>58</v>
      </c>
      <c r="C111" s="50" t="s">
        <v>62</v>
      </c>
      <c r="D111" s="55">
        <f>4.66*2*1.015</f>
        <v>9.4597999999999995</v>
      </c>
      <c r="E111" s="55" t="s">
        <v>428</v>
      </c>
      <c r="F111" s="13"/>
      <c r="G111" s="14" t="s">
        <v>38</v>
      </c>
      <c r="H111" s="83"/>
      <c r="J111" s="83"/>
    </row>
    <row r="112" spans="1:10" ht="27.75" x14ac:dyDescent="0.2">
      <c r="A112" s="61"/>
      <c r="B112" s="18" t="s">
        <v>80</v>
      </c>
      <c r="C112" s="50" t="s">
        <v>63</v>
      </c>
      <c r="D112" s="56">
        <f>(18*1.88+18*1.02+17*0.76+2*0.46+2*1.14)*2/1000</f>
        <v>0.13663999999999998</v>
      </c>
      <c r="E112" s="55" t="s">
        <v>169</v>
      </c>
      <c r="F112" s="13"/>
      <c r="G112" s="14" t="s">
        <v>66</v>
      </c>
      <c r="H112" s="83"/>
      <c r="J112" s="83"/>
    </row>
    <row r="113" spans="1:10" ht="27.75" x14ac:dyDescent="0.2">
      <c r="A113" s="61"/>
      <c r="B113" s="18" t="s">
        <v>168</v>
      </c>
      <c r="C113" s="50" t="s">
        <v>63</v>
      </c>
      <c r="D113" s="56">
        <f>(15*1.46+15*1.52+4*2.27+4*1.59+4*3.01+2*2.52+3*1.33)*2/1000</f>
        <v>0.16242000000000001</v>
      </c>
      <c r="E113" s="55" t="s">
        <v>181</v>
      </c>
      <c r="F113" s="13"/>
      <c r="G113" s="14" t="s">
        <v>66</v>
      </c>
      <c r="H113" s="83"/>
      <c r="J113" s="83"/>
    </row>
    <row r="114" spans="1:10" x14ac:dyDescent="0.2">
      <c r="A114" s="61">
        <f>A110+1</f>
        <v>18</v>
      </c>
      <c r="B114" s="14" t="s">
        <v>76</v>
      </c>
      <c r="C114" s="20" t="s">
        <v>63</v>
      </c>
      <c r="D114" s="54">
        <f>(2*14.89+2*8.81+2*8.17)*2/1000</f>
        <v>0.12748000000000001</v>
      </c>
      <c r="E114" s="12" t="s">
        <v>180</v>
      </c>
      <c r="F114" s="13"/>
      <c r="G114" s="14"/>
      <c r="H114" s="83"/>
      <c r="J114" s="83"/>
    </row>
    <row r="115" spans="1:10" x14ac:dyDescent="0.2">
      <c r="A115" s="22" t="s">
        <v>304</v>
      </c>
      <c r="B115" s="57" t="s">
        <v>351</v>
      </c>
      <c r="C115" s="20" t="s">
        <v>63</v>
      </c>
      <c r="D115" s="54">
        <f>2*2*14.89/1000</f>
        <v>5.9560000000000002E-2</v>
      </c>
      <c r="E115" s="12" t="s">
        <v>170</v>
      </c>
      <c r="F115" s="13" t="s">
        <v>81</v>
      </c>
      <c r="G115" s="14"/>
      <c r="H115" s="83"/>
      <c r="J115" s="83"/>
    </row>
    <row r="116" spans="1:10" x14ac:dyDescent="0.2">
      <c r="A116" s="22"/>
      <c r="B116" s="18" t="s">
        <v>343</v>
      </c>
      <c r="C116" s="50" t="s">
        <v>63</v>
      </c>
      <c r="D116" s="56">
        <f>13.19*2/1000</f>
        <v>2.6380000000000001E-2</v>
      </c>
      <c r="E116" s="55" t="s">
        <v>173</v>
      </c>
      <c r="F116" s="13"/>
      <c r="G116" s="14" t="s">
        <v>74</v>
      </c>
      <c r="H116" s="83"/>
      <c r="J116" s="83"/>
    </row>
    <row r="117" spans="1:10" x14ac:dyDescent="0.2">
      <c r="A117" s="22"/>
      <c r="B117" s="18" t="s">
        <v>344</v>
      </c>
      <c r="C117" s="50" t="s">
        <v>63</v>
      </c>
      <c r="D117" s="56">
        <f>8*0.213*2/1000</f>
        <v>3.408E-3</v>
      </c>
      <c r="E117" s="55" t="s">
        <v>174</v>
      </c>
      <c r="F117" s="13"/>
      <c r="G117" s="14" t="s">
        <v>66</v>
      </c>
      <c r="H117" s="83"/>
      <c r="J117" s="83"/>
    </row>
    <row r="118" spans="1:10" x14ac:dyDescent="0.2">
      <c r="A118" s="22"/>
      <c r="B118" s="57" t="s">
        <v>352</v>
      </c>
      <c r="C118" s="20" t="s">
        <v>63</v>
      </c>
      <c r="D118" s="54">
        <f>2*2*8.81/1000</f>
        <v>3.524E-2</v>
      </c>
      <c r="E118" s="12" t="s">
        <v>171</v>
      </c>
      <c r="F118" s="13" t="s">
        <v>81</v>
      </c>
      <c r="G118" s="14"/>
      <c r="H118" s="83"/>
      <c r="J118" s="83"/>
    </row>
    <row r="119" spans="1:10" x14ac:dyDescent="0.2">
      <c r="A119" s="22"/>
      <c r="B119" s="18" t="s">
        <v>345</v>
      </c>
      <c r="C119" s="50" t="s">
        <v>63</v>
      </c>
      <c r="D119" s="56">
        <f>7.54*2/1000</f>
        <v>1.508E-2</v>
      </c>
      <c r="E119" s="55" t="s">
        <v>175</v>
      </c>
      <c r="F119" s="13"/>
      <c r="G119" s="14" t="s">
        <v>74</v>
      </c>
      <c r="H119" s="83"/>
      <c r="J119" s="83"/>
    </row>
    <row r="120" spans="1:10" x14ac:dyDescent="0.2">
      <c r="A120" s="58"/>
      <c r="B120" s="18" t="s">
        <v>344</v>
      </c>
      <c r="C120" s="50" t="s">
        <v>63</v>
      </c>
      <c r="D120" s="56">
        <f>6*0.213*2/1000</f>
        <v>2.5560000000000001E-3</v>
      </c>
      <c r="E120" s="55" t="s">
        <v>176</v>
      </c>
      <c r="F120" s="13"/>
      <c r="G120" s="14" t="s">
        <v>66</v>
      </c>
      <c r="H120" s="83"/>
      <c r="J120" s="83"/>
    </row>
    <row r="121" spans="1:10" x14ac:dyDescent="0.2">
      <c r="A121" s="58" t="s">
        <v>305</v>
      </c>
      <c r="B121" s="57" t="s">
        <v>353</v>
      </c>
      <c r="C121" s="20" t="s">
        <v>63</v>
      </c>
      <c r="D121" s="54">
        <f>2*2*8.17/1000</f>
        <v>3.2680000000000001E-2</v>
      </c>
      <c r="E121" s="12" t="s">
        <v>172</v>
      </c>
      <c r="F121" s="13" t="s">
        <v>81</v>
      </c>
      <c r="G121" s="14"/>
      <c r="H121" s="83"/>
      <c r="J121" s="83"/>
    </row>
    <row r="122" spans="1:10" x14ac:dyDescent="0.2">
      <c r="A122" s="58"/>
      <c r="B122" s="18" t="s">
        <v>346</v>
      </c>
      <c r="C122" s="50" t="s">
        <v>63</v>
      </c>
      <c r="D122" s="56">
        <f>7.54*2/1000</f>
        <v>1.508E-2</v>
      </c>
      <c r="E122" s="55" t="s">
        <v>175</v>
      </c>
      <c r="F122" s="13"/>
      <c r="G122" s="14" t="s">
        <v>74</v>
      </c>
      <c r="H122" s="83"/>
      <c r="J122" s="83"/>
    </row>
    <row r="123" spans="1:10" x14ac:dyDescent="0.2">
      <c r="A123" s="58"/>
      <c r="B123" s="18" t="s">
        <v>347</v>
      </c>
      <c r="C123" s="50" t="s">
        <v>63</v>
      </c>
      <c r="D123" s="56">
        <f>10*0.063*2/1000</f>
        <v>1.2600000000000001E-3</v>
      </c>
      <c r="E123" s="55" t="s">
        <v>177</v>
      </c>
      <c r="F123" s="13"/>
      <c r="G123" s="14" t="s">
        <v>66</v>
      </c>
      <c r="H123" s="83"/>
      <c r="J123" s="83"/>
    </row>
    <row r="124" spans="1:10" ht="27.75" x14ac:dyDescent="0.2">
      <c r="A124" s="82">
        <f>A114+1</f>
        <v>19</v>
      </c>
      <c r="B124" s="14" t="s">
        <v>82</v>
      </c>
      <c r="C124" s="20" t="s">
        <v>62</v>
      </c>
      <c r="D124" s="73">
        <v>0.03</v>
      </c>
      <c r="E124" s="12">
        <v>0.03</v>
      </c>
      <c r="F124" s="13" t="s">
        <v>178</v>
      </c>
      <c r="G124" s="14"/>
      <c r="H124" s="83"/>
      <c r="J124" s="83"/>
    </row>
    <row r="125" spans="1:10" ht="27.75" x14ac:dyDescent="0.2">
      <c r="A125" s="58" t="s">
        <v>306</v>
      </c>
      <c r="B125" s="18" t="s">
        <v>83</v>
      </c>
      <c r="C125" s="50" t="s">
        <v>62</v>
      </c>
      <c r="D125" s="63">
        <v>0.03</v>
      </c>
      <c r="E125" s="60">
        <v>0.03</v>
      </c>
      <c r="F125" s="59"/>
      <c r="G125" s="14"/>
      <c r="H125" s="83"/>
      <c r="J125" s="83"/>
    </row>
    <row r="126" spans="1:10" x14ac:dyDescent="0.2">
      <c r="A126" s="111" t="s">
        <v>360</v>
      </c>
      <c r="B126" s="112"/>
      <c r="C126" s="112"/>
      <c r="D126" s="112"/>
      <c r="E126" s="112"/>
      <c r="F126" s="112"/>
      <c r="G126" s="113"/>
      <c r="H126" s="83"/>
      <c r="J126" s="83"/>
    </row>
    <row r="127" spans="1:10" ht="27.75" x14ac:dyDescent="0.2">
      <c r="A127" s="61">
        <f>A124+1</f>
        <v>20</v>
      </c>
      <c r="B127" s="14" t="s">
        <v>82</v>
      </c>
      <c r="C127" s="20" t="s">
        <v>62</v>
      </c>
      <c r="D127" s="12">
        <f>0.43</f>
        <v>0.43</v>
      </c>
      <c r="E127" s="12">
        <f>0.43</f>
        <v>0.43</v>
      </c>
      <c r="F127" s="13" t="s">
        <v>179</v>
      </c>
      <c r="G127" s="14"/>
      <c r="H127" s="83"/>
      <c r="J127" s="83"/>
    </row>
    <row r="128" spans="1:10" ht="27.75" x14ac:dyDescent="0.2">
      <c r="A128" s="22" t="s">
        <v>307</v>
      </c>
      <c r="B128" s="18" t="s">
        <v>84</v>
      </c>
      <c r="C128" s="50" t="s">
        <v>62</v>
      </c>
      <c r="D128" s="55">
        <f>0.43</f>
        <v>0.43</v>
      </c>
      <c r="E128" s="55">
        <f>0.43</f>
        <v>0.43</v>
      </c>
      <c r="F128" s="13"/>
      <c r="G128" s="14"/>
      <c r="H128" s="83"/>
      <c r="J128" s="83"/>
    </row>
    <row r="129" spans="1:10" ht="41.25" x14ac:dyDescent="0.2">
      <c r="A129" s="61">
        <f>A127+1</f>
        <v>21</v>
      </c>
      <c r="B129" s="14" t="s">
        <v>85</v>
      </c>
      <c r="C129" s="20" t="s">
        <v>87</v>
      </c>
      <c r="D129" s="12">
        <v>18</v>
      </c>
      <c r="E129" s="12">
        <v>18</v>
      </c>
      <c r="F129" s="13"/>
      <c r="G129" s="14"/>
      <c r="H129" s="83"/>
      <c r="J129" s="83"/>
    </row>
    <row r="130" spans="1:10" ht="27.75" x14ac:dyDescent="0.2">
      <c r="A130" s="22" t="s">
        <v>308</v>
      </c>
      <c r="B130" s="18" t="s">
        <v>293</v>
      </c>
      <c r="C130" s="50" t="s">
        <v>87</v>
      </c>
      <c r="D130" s="55">
        <v>18</v>
      </c>
      <c r="E130" s="55">
        <v>18</v>
      </c>
      <c r="F130" s="13"/>
      <c r="G130" s="14"/>
      <c r="H130" s="83"/>
      <c r="J130" s="83"/>
    </row>
    <row r="131" spans="1:10" x14ac:dyDescent="0.2">
      <c r="A131" s="22" t="s">
        <v>309</v>
      </c>
      <c r="B131" s="18" t="s">
        <v>354</v>
      </c>
      <c r="C131" s="50" t="s">
        <v>62</v>
      </c>
      <c r="D131" s="87">
        <v>0.01</v>
      </c>
      <c r="E131" s="87">
        <v>0.01</v>
      </c>
      <c r="F131" s="13"/>
      <c r="G131" s="14" t="s">
        <v>355</v>
      </c>
      <c r="H131" s="83"/>
      <c r="J131" s="83"/>
    </row>
    <row r="132" spans="1:10" x14ac:dyDescent="0.2">
      <c r="A132" s="111" t="s">
        <v>361</v>
      </c>
      <c r="B132" s="112"/>
      <c r="C132" s="112"/>
      <c r="D132" s="112"/>
      <c r="E132" s="112"/>
      <c r="F132" s="112"/>
      <c r="G132" s="113"/>
      <c r="H132" s="95" t="s">
        <v>333</v>
      </c>
      <c r="J132" s="83"/>
    </row>
    <row r="133" spans="1:10" x14ac:dyDescent="0.2">
      <c r="A133" s="121" t="s">
        <v>88</v>
      </c>
      <c r="B133" s="122"/>
      <c r="C133" s="50"/>
      <c r="D133" s="55"/>
      <c r="E133" s="55"/>
      <c r="F133" s="13"/>
      <c r="G133" s="14"/>
      <c r="H133" s="83"/>
      <c r="J133" s="83"/>
    </row>
    <row r="134" spans="1:10" x14ac:dyDescent="0.2">
      <c r="A134" s="61">
        <f>A129+1</f>
        <v>22</v>
      </c>
      <c r="B134" s="14" t="s">
        <v>55</v>
      </c>
      <c r="C134" s="20" t="s">
        <v>62</v>
      </c>
      <c r="D134" s="12">
        <v>0.16</v>
      </c>
      <c r="E134" s="12">
        <v>0.16</v>
      </c>
      <c r="F134" s="13" t="s">
        <v>186</v>
      </c>
      <c r="G134" s="14"/>
      <c r="H134" s="83"/>
      <c r="J134" s="83"/>
    </row>
    <row r="135" spans="1:10" x14ac:dyDescent="0.2">
      <c r="A135" s="22"/>
      <c r="B135" s="18" t="s">
        <v>57</v>
      </c>
      <c r="C135" s="50" t="s">
        <v>62</v>
      </c>
      <c r="D135" s="55">
        <f>0.16*1.02</f>
        <v>0.16320000000000001</v>
      </c>
      <c r="E135" s="55" t="s">
        <v>389</v>
      </c>
      <c r="F135" s="13"/>
      <c r="G135" s="14" t="s">
        <v>38</v>
      </c>
      <c r="H135" s="83"/>
      <c r="J135" s="83"/>
    </row>
    <row r="136" spans="1:10" x14ac:dyDescent="0.2">
      <c r="A136" s="82">
        <f>A134+1</f>
        <v>23</v>
      </c>
      <c r="B136" s="14" t="s">
        <v>89</v>
      </c>
      <c r="C136" s="20" t="s">
        <v>62</v>
      </c>
      <c r="D136" s="77">
        <v>1.78</v>
      </c>
      <c r="E136" s="77">
        <v>1.78</v>
      </c>
      <c r="F136" s="59"/>
      <c r="G136" s="14"/>
      <c r="H136" s="83"/>
      <c r="J136" s="83"/>
    </row>
    <row r="137" spans="1:10" x14ac:dyDescent="0.2">
      <c r="A137" s="58"/>
      <c r="B137" s="18" t="s">
        <v>58</v>
      </c>
      <c r="C137" s="50" t="s">
        <v>62</v>
      </c>
      <c r="D137" s="60">
        <f>1.78*1.015</f>
        <v>1.8066999999999998</v>
      </c>
      <c r="E137" s="60" t="s">
        <v>410</v>
      </c>
      <c r="F137" s="59"/>
      <c r="G137" s="14" t="s">
        <v>38</v>
      </c>
      <c r="H137" s="83"/>
      <c r="J137" s="83"/>
    </row>
    <row r="138" spans="1:10" ht="27.75" x14ac:dyDescent="0.2">
      <c r="A138" s="58"/>
      <c r="B138" s="18" t="s">
        <v>122</v>
      </c>
      <c r="C138" s="50" t="s">
        <v>63</v>
      </c>
      <c r="D138" s="76">
        <f>6*10.61/1000</f>
        <v>6.3659999999999994E-2</v>
      </c>
      <c r="E138" s="60" t="s">
        <v>182</v>
      </c>
      <c r="F138" s="59"/>
      <c r="G138" s="14" t="s">
        <v>66</v>
      </c>
      <c r="H138" s="83"/>
      <c r="J138" s="83"/>
    </row>
    <row r="139" spans="1:10" ht="27.75" x14ac:dyDescent="0.2">
      <c r="A139" s="58"/>
      <c r="B139" s="18" t="s">
        <v>60</v>
      </c>
      <c r="C139" s="50" t="s">
        <v>63</v>
      </c>
      <c r="D139" s="76">
        <f>(4*3.07+10*3.21+36*1.47+12*1.02)/1000</f>
        <v>0.10954000000000001</v>
      </c>
      <c r="E139" s="60" t="s">
        <v>183</v>
      </c>
      <c r="F139" s="59"/>
      <c r="G139" s="14" t="s">
        <v>66</v>
      </c>
      <c r="H139" s="83"/>
      <c r="J139" s="83"/>
    </row>
    <row r="140" spans="1:10" ht="27.75" x14ac:dyDescent="0.2">
      <c r="A140" s="58"/>
      <c r="B140" s="18" t="s">
        <v>123</v>
      </c>
      <c r="C140" s="50" t="s">
        <v>63</v>
      </c>
      <c r="D140" s="76">
        <f>(24*1.08+10*2.59)/1000</f>
        <v>5.1819999999999998E-2</v>
      </c>
      <c r="E140" s="60" t="s">
        <v>184</v>
      </c>
      <c r="F140" s="59"/>
      <c r="G140" s="14" t="s">
        <v>66</v>
      </c>
      <c r="H140" s="83"/>
      <c r="J140" s="83"/>
    </row>
    <row r="141" spans="1:10" ht="27.75" x14ac:dyDescent="0.2">
      <c r="A141" s="58"/>
      <c r="B141" s="18" t="s">
        <v>117</v>
      </c>
      <c r="C141" s="50" t="s">
        <v>63</v>
      </c>
      <c r="D141" s="76">
        <f>(23*0.54+31*0.15)/1000</f>
        <v>1.7070000000000002E-2</v>
      </c>
      <c r="E141" s="60" t="s">
        <v>185</v>
      </c>
      <c r="F141" s="59"/>
      <c r="G141" s="14" t="s">
        <v>39</v>
      </c>
      <c r="H141" s="83"/>
      <c r="J141" s="83"/>
    </row>
    <row r="142" spans="1:10" x14ac:dyDescent="0.2">
      <c r="A142" s="111" t="s">
        <v>90</v>
      </c>
      <c r="B142" s="113"/>
      <c r="C142" s="20"/>
      <c r="D142" s="21"/>
      <c r="E142" s="12"/>
      <c r="F142" s="13"/>
      <c r="G142" s="14"/>
      <c r="H142" s="83"/>
      <c r="J142" s="83"/>
    </row>
    <row r="143" spans="1:10" x14ac:dyDescent="0.2">
      <c r="A143" s="61">
        <f>A136+1</f>
        <v>24</v>
      </c>
      <c r="B143" s="14" t="s">
        <v>55</v>
      </c>
      <c r="C143" s="20" t="s">
        <v>62</v>
      </c>
      <c r="D143" s="12">
        <v>0.22</v>
      </c>
      <c r="E143" s="12">
        <v>0.22</v>
      </c>
      <c r="F143" s="13" t="s">
        <v>186</v>
      </c>
      <c r="G143" s="14"/>
      <c r="H143" s="83"/>
      <c r="J143" s="83"/>
    </row>
    <row r="144" spans="1:10" x14ac:dyDescent="0.2">
      <c r="A144" s="61"/>
      <c r="B144" s="18" t="s">
        <v>57</v>
      </c>
      <c r="C144" s="50" t="s">
        <v>62</v>
      </c>
      <c r="D144" s="55">
        <f>0.22*1.02</f>
        <v>0.22440000000000002</v>
      </c>
      <c r="E144" s="55" t="s">
        <v>390</v>
      </c>
      <c r="F144" s="13"/>
      <c r="G144" s="14" t="s">
        <v>38</v>
      </c>
      <c r="H144" s="83"/>
      <c r="J144" s="83"/>
    </row>
    <row r="145" spans="1:10" x14ac:dyDescent="0.2">
      <c r="A145" s="61">
        <f>A143+1</f>
        <v>25</v>
      </c>
      <c r="B145" s="14" t="s">
        <v>89</v>
      </c>
      <c r="C145" s="20" t="s">
        <v>62</v>
      </c>
      <c r="D145" s="77">
        <v>2.4500000000000002</v>
      </c>
      <c r="E145" s="77">
        <v>2.4500000000000002</v>
      </c>
      <c r="F145" s="59"/>
      <c r="G145" s="14"/>
      <c r="H145" s="83"/>
      <c r="J145" s="83"/>
    </row>
    <row r="146" spans="1:10" x14ac:dyDescent="0.2">
      <c r="A146" s="61"/>
      <c r="B146" s="18" t="s">
        <v>58</v>
      </c>
      <c r="C146" s="50" t="s">
        <v>62</v>
      </c>
      <c r="D146" s="60">
        <f>2.45*1.015</f>
        <v>2.4867499999999998</v>
      </c>
      <c r="E146" s="60" t="s">
        <v>411</v>
      </c>
      <c r="F146" s="59"/>
      <c r="G146" s="14" t="s">
        <v>38</v>
      </c>
      <c r="H146" s="83"/>
      <c r="J146" s="83"/>
    </row>
    <row r="147" spans="1:10" ht="27.75" x14ac:dyDescent="0.2">
      <c r="A147" s="61"/>
      <c r="B147" s="18" t="s">
        <v>122</v>
      </c>
      <c r="C147" s="50" t="s">
        <v>63</v>
      </c>
      <c r="D147" s="76">
        <f>6*13.81/1000</f>
        <v>8.2860000000000003E-2</v>
      </c>
      <c r="E147" s="60">
        <f>6*13.81/1000</f>
        <v>8.2860000000000003E-2</v>
      </c>
      <c r="F147" s="59"/>
      <c r="G147" s="14" t="s">
        <v>66</v>
      </c>
      <c r="H147" s="83"/>
      <c r="J147" s="83"/>
    </row>
    <row r="148" spans="1:10" ht="27.75" x14ac:dyDescent="0.2">
      <c r="A148" s="22"/>
      <c r="B148" s="18" t="s">
        <v>60</v>
      </c>
      <c r="C148" s="50" t="s">
        <v>63</v>
      </c>
      <c r="D148" s="76">
        <f>(4*4.23+50*1.47+12*1.02+10*4.36)/1000</f>
        <v>0.14626</v>
      </c>
      <c r="E148" s="60" t="s">
        <v>187</v>
      </c>
      <c r="F148" s="59"/>
      <c r="G148" s="14" t="s">
        <v>66</v>
      </c>
      <c r="H148" s="83"/>
      <c r="J148" s="83"/>
    </row>
    <row r="149" spans="1:10" ht="27.75" x14ac:dyDescent="0.2">
      <c r="A149" s="22"/>
      <c r="B149" s="18" t="s">
        <v>123</v>
      </c>
      <c r="C149" s="50" t="s">
        <v>63</v>
      </c>
      <c r="D149" s="76">
        <f>(31*1.08+10*2.59)/1000</f>
        <v>5.9380000000000002E-2</v>
      </c>
      <c r="E149" s="60" t="s">
        <v>188</v>
      </c>
      <c r="F149" s="59"/>
      <c r="G149" s="14" t="s">
        <v>66</v>
      </c>
      <c r="H149" s="83"/>
      <c r="J149" s="83"/>
    </row>
    <row r="150" spans="1:10" ht="27.75" x14ac:dyDescent="0.2">
      <c r="A150" s="22"/>
      <c r="B150" s="18" t="s">
        <v>117</v>
      </c>
      <c r="C150" s="50" t="s">
        <v>63</v>
      </c>
      <c r="D150" s="76">
        <f>(30*0.54+42*0.15)/1000</f>
        <v>2.2500000000000003E-2</v>
      </c>
      <c r="E150" s="60" t="s">
        <v>189</v>
      </c>
      <c r="F150" s="59"/>
      <c r="G150" s="14" t="s">
        <v>39</v>
      </c>
      <c r="H150" s="83"/>
      <c r="J150" s="83"/>
    </row>
    <row r="151" spans="1:10" x14ac:dyDescent="0.2">
      <c r="A151" s="111" t="s">
        <v>91</v>
      </c>
      <c r="B151" s="113"/>
      <c r="C151" s="50"/>
      <c r="D151" s="63"/>
      <c r="E151" s="55"/>
      <c r="F151" s="13"/>
      <c r="G151" s="14"/>
      <c r="H151" s="83"/>
      <c r="J151" s="83"/>
    </row>
    <row r="152" spans="1:10" x14ac:dyDescent="0.2">
      <c r="A152" s="61">
        <f>A145+1</f>
        <v>26</v>
      </c>
      <c r="B152" s="14" t="s">
        <v>55</v>
      </c>
      <c r="C152" s="20" t="s">
        <v>62</v>
      </c>
      <c r="D152" s="12">
        <v>0.19</v>
      </c>
      <c r="E152" s="12">
        <v>0.19</v>
      </c>
      <c r="F152" s="13" t="s">
        <v>186</v>
      </c>
      <c r="G152" s="14"/>
      <c r="H152" s="83"/>
      <c r="J152" s="83"/>
    </row>
    <row r="153" spans="1:10" x14ac:dyDescent="0.2">
      <c r="A153" s="61"/>
      <c r="B153" s="18" t="s">
        <v>57</v>
      </c>
      <c r="C153" s="50" t="s">
        <v>62</v>
      </c>
      <c r="D153" s="55">
        <f>0.19*1.02</f>
        <v>0.1938</v>
      </c>
      <c r="E153" s="55" t="s">
        <v>391</v>
      </c>
      <c r="F153" s="13"/>
      <c r="G153" s="14" t="s">
        <v>38</v>
      </c>
      <c r="H153" s="83"/>
      <c r="J153" s="83"/>
    </row>
    <row r="154" spans="1:10" x14ac:dyDescent="0.2">
      <c r="A154" s="61">
        <f>A152+1</f>
        <v>27</v>
      </c>
      <c r="B154" s="14" t="s">
        <v>89</v>
      </c>
      <c r="C154" s="20" t="s">
        <v>62</v>
      </c>
      <c r="D154" s="77">
        <v>2.12</v>
      </c>
      <c r="E154" s="77">
        <v>2.12</v>
      </c>
      <c r="F154" s="59"/>
      <c r="G154" s="14"/>
      <c r="H154" s="83"/>
      <c r="J154" s="83"/>
    </row>
    <row r="155" spans="1:10" x14ac:dyDescent="0.2">
      <c r="A155" s="53"/>
      <c r="B155" s="18" t="s">
        <v>58</v>
      </c>
      <c r="C155" s="50" t="s">
        <v>62</v>
      </c>
      <c r="D155" s="60">
        <f>2.12*1.015</f>
        <v>2.1517999999999997</v>
      </c>
      <c r="E155" s="60" t="s">
        <v>412</v>
      </c>
      <c r="F155" s="59"/>
      <c r="G155" s="14" t="s">
        <v>38</v>
      </c>
      <c r="H155" s="83"/>
      <c r="J155" s="83"/>
    </row>
    <row r="156" spans="1:10" ht="27.75" x14ac:dyDescent="0.2">
      <c r="A156" s="62"/>
      <c r="B156" s="18" t="s">
        <v>122</v>
      </c>
      <c r="C156" s="50" t="s">
        <v>63</v>
      </c>
      <c r="D156" s="76">
        <f>3*12.33/1000</f>
        <v>3.6990000000000002E-2</v>
      </c>
      <c r="E156" s="60" t="s">
        <v>190</v>
      </c>
      <c r="F156" s="59"/>
      <c r="G156" s="14" t="s">
        <v>66</v>
      </c>
      <c r="H156" s="83"/>
      <c r="J156" s="83"/>
    </row>
    <row r="157" spans="1:10" ht="27.75" x14ac:dyDescent="0.2">
      <c r="A157" s="62"/>
      <c r="B157" s="18" t="s">
        <v>119</v>
      </c>
      <c r="C157" s="50" t="s">
        <v>63</v>
      </c>
      <c r="D157" s="76">
        <f>2*7.51/1000</f>
        <v>1.502E-2</v>
      </c>
      <c r="E157" s="60" t="s">
        <v>191</v>
      </c>
      <c r="F157" s="59"/>
      <c r="G157" s="14" t="s">
        <v>66</v>
      </c>
      <c r="H157" s="83"/>
      <c r="J157" s="83"/>
    </row>
    <row r="158" spans="1:10" ht="27.75" x14ac:dyDescent="0.2">
      <c r="A158" s="62"/>
      <c r="B158" s="18" t="s">
        <v>60</v>
      </c>
      <c r="C158" s="50" t="s">
        <v>63</v>
      </c>
      <c r="D158" s="76">
        <f>(4*3.69+44*1.47+6*1.02+8*0.55+6*3.92+4*3.58)/1000</f>
        <v>0.12780000000000002</v>
      </c>
      <c r="E158" s="60" t="s">
        <v>192</v>
      </c>
      <c r="F158" s="59"/>
      <c r="G158" s="14" t="s">
        <v>66</v>
      </c>
      <c r="H158" s="83"/>
      <c r="J158" s="83"/>
    </row>
    <row r="159" spans="1:10" ht="27.75" x14ac:dyDescent="0.2">
      <c r="A159" s="62"/>
      <c r="B159" s="18" t="s">
        <v>123</v>
      </c>
      <c r="C159" s="50" t="s">
        <v>63</v>
      </c>
      <c r="D159" s="76">
        <f>(29*1.08+10*2.59)/1000</f>
        <v>5.722E-2</v>
      </c>
      <c r="E159" s="60" t="s">
        <v>193</v>
      </c>
      <c r="F159" s="59"/>
      <c r="G159" s="14" t="s">
        <v>66</v>
      </c>
      <c r="H159" s="83"/>
      <c r="J159" s="83"/>
    </row>
    <row r="160" spans="1:10" ht="27.75" x14ac:dyDescent="0.2">
      <c r="A160" s="62"/>
      <c r="B160" s="18" t="s">
        <v>117</v>
      </c>
      <c r="C160" s="50" t="s">
        <v>63</v>
      </c>
      <c r="D160" s="76">
        <f>(27*0.54+37*0.15)/1000</f>
        <v>2.0130000000000002E-2</v>
      </c>
      <c r="E160" s="60" t="s">
        <v>194</v>
      </c>
      <c r="F160" s="59"/>
      <c r="G160" s="14" t="s">
        <v>39</v>
      </c>
      <c r="H160" s="83"/>
      <c r="J160" s="83"/>
    </row>
    <row r="161" spans="1:10" x14ac:dyDescent="0.2">
      <c r="A161" s="111" t="s">
        <v>92</v>
      </c>
      <c r="B161" s="113"/>
      <c r="C161" s="50"/>
      <c r="D161" s="63"/>
      <c r="E161" s="60"/>
      <c r="F161" s="59"/>
      <c r="G161" s="14"/>
      <c r="H161" s="83"/>
      <c r="J161" s="83"/>
    </row>
    <row r="162" spans="1:10" x14ac:dyDescent="0.2">
      <c r="A162" s="61">
        <f>A154+1</f>
        <v>28</v>
      </c>
      <c r="B162" s="14" t="s">
        <v>55</v>
      </c>
      <c r="C162" s="20" t="s">
        <v>62</v>
      </c>
      <c r="D162" s="12">
        <f>0.19*4</f>
        <v>0.76</v>
      </c>
      <c r="E162" s="12" t="s">
        <v>196</v>
      </c>
      <c r="F162" s="13" t="s">
        <v>195</v>
      </c>
      <c r="G162" s="14"/>
      <c r="H162" s="83"/>
      <c r="J162" s="83"/>
    </row>
    <row r="163" spans="1:10" x14ac:dyDescent="0.2">
      <c r="A163" s="61"/>
      <c r="B163" s="18" t="s">
        <v>57</v>
      </c>
      <c r="C163" s="50" t="s">
        <v>62</v>
      </c>
      <c r="D163" s="55">
        <f>0.19*4*1.02</f>
        <v>0.7752</v>
      </c>
      <c r="E163" s="55" t="s">
        <v>392</v>
      </c>
      <c r="F163" s="13"/>
      <c r="G163" s="14" t="s">
        <v>38</v>
      </c>
      <c r="H163" s="83"/>
      <c r="J163" s="83"/>
    </row>
    <row r="164" spans="1:10" x14ac:dyDescent="0.2">
      <c r="A164" s="61">
        <f>A162+1</f>
        <v>29</v>
      </c>
      <c r="B164" s="14" t="s">
        <v>89</v>
      </c>
      <c r="C164" s="20" t="s">
        <v>62</v>
      </c>
      <c r="D164" s="77">
        <f>2.17*4</f>
        <v>8.68</v>
      </c>
      <c r="E164" s="77" t="s">
        <v>197</v>
      </c>
      <c r="F164" s="59"/>
      <c r="G164" s="14"/>
      <c r="H164" s="83"/>
      <c r="J164" s="83"/>
    </row>
    <row r="165" spans="1:10" x14ac:dyDescent="0.2">
      <c r="A165" s="62"/>
      <c r="B165" s="18" t="s">
        <v>58</v>
      </c>
      <c r="C165" s="50" t="s">
        <v>62</v>
      </c>
      <c r="D165" s="60">
        <f>2.17*4*1.015</f>
        <v>8.8101999999999983</v>
      </c>
      <c r="E165" s="60" t="s">
        <v>413</v>
      </c>
      <c r="F165" s="59"/>
      <c r="G165" s="14" t="s">
        <v>38</v>
      </c>
      <c r="H165" s="83"/>
      <c r="J165" s="83"/>
    </row>
    <row r="166" spans="1:10" ht="27.75" x14ac:dyDescent="0.2">
      <c r="A166" s="62"/>
      <c r="B166" s="18" t="s">
        <v>122</v>
      </c>
      <c r="C166" s="50" t="s">
        <v>63</v>
      </c>
      <c r="D166" s="76">
        <f>3*12.21*4/1000</f>
        <v>0.14652000000000001</v>
      </c>
      <c r="E166" s="60" t="s">
        <v>216</v>
      </c>
      <c r="F166" s="59"/>
      <c r="G166" s="14" t="s">
        <v>66</v>
      </c>
      <c r="H166" s="83"/>
      <c r="J166" s="83"/>
    </row>
    <row r="167" spans="1:10" ht="27.75" x14ac:dyDescent="0.2">
      <c r="A167" s="62"/>
      <c r="B167" s="18" t="s">
        <v>119</v>
      </c>
      <c r="C167" s="50" t="s">
        <v>63</v>
      </c>
      <c r="D167" s="76">
        <f>2*7.43*4/1000</f>
        <v>5.944E-2</v>
      </c>
      <c r="E167" s="60" t="s">
        <v>198</v>
      </c>
      <c r="F167" s="59"/>
      <c r="G167" s="14" t="s">
        <v>66</v>
      </c>
      <c r="H167" s="83"/>
      <c r="J167" s="83"/>
    </row>
    <row r="168" spans="1:10" ht="27.75" x14ac:dyDescent="0.2">
      <c r="A168" s="62"/>
      <c r="B168" s="18" t="s">
        <v>60</v>
      </c>
      <c r="C168" s="50" t="s">
        <v>63</v>
      </c>
      <c r="D168" s="76">
        <f>(4*3.65+44*1.47+14*1.02+10*3.92)*4/1000</f>
        <v>0.53103999999999996</v>
      </c>
      <c r="E168" s="60" t="s">
        <v>199</v>
      </c>
      <c r="F168" s="59"/>
      <c r="G168" s="14" t="s">
        <v>66</v>
      </c>
      <c r="H168" s="83"/>
      <c r="J168" s="83"/>
    </row>
    <row r="169" spans="1:10" ht="27.75" x14ac:dyDescent="0.2">
      <c r="A169" s="62"/>
      <c r="B169" s="18" t="s">
        <v>123</v>
      </c>
      <c r="C169" s="50" t="s">
        <v>63</v>
      </c>
      <c r="D169" s="76">
        <f>(29*1.08+10*1.06)*4/1000</f>
        <v>0.16768</v>
      </c>
      <c r="E169" s="60" t="s">
        <v>201</v>
      </c>
      <c r="F169" s="59"/>
      <c r="G169" s="14" t="s">
        <v>66</v>
      </c>
      <c r="H169" s="83"/>
      <c r="J169" s="83"/>
    </row>
    <row r="170" spans="1:10" ht="27.75" x14ac:dyDescent="0.2">
      <c r="A170" s="62"/>
      <c r="B170" s="18" t="s">
        <v>117</v>
      </c>
      <c r="C170" s="50" t="s">
        <v>63</v>
      </c>
      <c r="D170" s="76">
        <f>(27*0.54+37*0.15)*4/1000</f>
        <v>8.0520000000000008E-2</v>
      </c>
      <c r="E170" s="60" t="s">
        <v>200</v>
      </c>
      <c r="F170" s="59"/>
      <c r="G170" s="14" t="s">
        <v>39</v>
      </c>
      <c r="H170" s="83"/>
      <c r="J170" s="83"/>
    </row>
    <row r="171" spans="1:10" x14ac:dyDescent="0.2">
      <c r="A171" s="111" t="s">
        <v>93</v>
      </c>
      <c r="B171" s="113"/>
      <c r="C171" s="50"/>
      <c r="D171" s="63"/>
      <c r="E171" s="60"/>
      <c r="F171" s="59"/>
      <c r="G171" s="14"/>
      <c r="H171" s="83"/>
      <c r="J171" s="83"/>
    </row>
    <row r="172" spans="1:10" x14ac:dyDescent="0.2">
      <c r="A172" s="61">
        <f>A164+1</f>
        <v>30</v>
      </c>
      <c r="B172" s="14" t="s">
        <v>55</v>
      </c>
      <c r="C172" s="20" t="s">
        <v>62</v>
      </c>
      <c r="D172" s="12">
        <v>0.13</v>
      </c>
      <c r="E172" s="12">
        <v>0.13</v>
      </c>
      <c r="F172" s="13" t="s">
        <v>195</v>
      </c>
      <c r="G172" s="14"/>
      <c r="H172" s="83"/>
      <c r="J172" s="83"/>
    </row>
    <row r="173" spans="1:10" x14ac:dyDescent="0.2">
      <c r="A173" s="61"/>
      <c r="B173" s="18" t="s">
        <v>57</v>
      </c>
      <c r="C173" s="50" t="s">
        <v>62</v>
      </c>
      <c r="D173" s="55">
        <f>0.13*1.02</f>
        <v>0.1326</v>
      </c>
      <c r="E173" s="55" t="s">
        <v>393</v>
      </c>
      <c r="F173" s="13"/>
      <c r="G173" s="14" t="s">
        <v>38</v>
      </c>
      <c r="H173" s="83"/>
      <c r="J173" s="83"/>
    </row>
    <row r="174" spans="1:10" x14ac:dyDescent="0.2">
      <c r="A174" s="61">
        <f>A172+1</f>
        <v>31</v>
      </c>
      <c r="B174" s="14" t="s">
        <v>89</v>
      </c>
      <c r="C174" s="20" t="s">
        <v>62</v>
      </c>
      <c r="D174" s="78">
        <v>1.79</v>
      </c>
      <c r="E174" s="78">
        <v>1.79</v>
      </c>
      <c r="F174" s="59"/>
      <c r="G174" s="14"/>
      <c r="H174" s="83"/>
      <c r="J174" s="83"/>
    </row>
    <row r="175" spans="1:10" x14ac:dyDescent="0.2">
      <c r="A175" s="62"/>
      <c r="B175" s="18" t="s">
        <v>58</v>
      </c>
      <c r="C175" s="50" t="s">
        <v>62</v>
      </c>
      <c r="D175" s="60">
        <f>1.79*1.015</f>
        <v>1.8168499999999999</v>
      </c>
      <c r="E175" s="60" t="s">
        <v>414</v>
      </c>
      <c r="F175" s="59"/>
      <c r="G175" s="14" t="s">
        <v>38</v>
      </c>
      <c r="H175" s="83"/>
      <c r="J175" s="83"/>
    </row>
    <row r="176" spans="1:10" x14ac:dyDescent="0.2">
      <c r="A176" s="62"/>
      <c r="B176" s="18" t="s">
        <v>65</v>
      </c>
      <c r="C176" s="50" t="s">
        <v>63</v>
      </c>
      <c r="D176" s="76">
        <f>6*12.09/1000</f>
        <v>7.2539999999999993E-2</v>
      </c>
      <c r="E176" s="60" t="s">
        <v>206</v>
      </c>
      <c r="F176" s="59"/>
      <c r="G176" s="14" t="s">
        <v>66</v>
      </c>
      <c r="H176" s="83"/>
      <c r="J176" s="83"/>
    </row>
    <row r="177" spans="1:10" x14ac:dyDescent="0.2">
      <c r="A177" s="62"/>
      <c r="B177" s="18" t="s">
        <v>60</v>
      </c>
      <c r="C177" s="50" t="s">
        <v>63</v>
      </c>
      <c r="D177" s="76">
        <f>(10*4.35+56*1.02)/1000</f>
        <v>0.10062</v>
      </c>
      <c r="E177" s="60" t="s">
        <v>207</v>
      </c>
      <c r="F177" s="59"/>
      <c r="G177" s="14" t="s">
        <v>66</v>
      </c>
      <c r="H177" s="83"/>
      <c r="J177" s="83"/>
    </row>
    <row r="178" spans="1:10" ht="27.75" x14ac:dyDescent="0.2">
      <c r="A178" s="62"/>
      <c r="B178" s="18" t="s">
        <v>123</v>
      </c>
      <c r="C178" s="50" t="s">
        <v>63</v>
      </c>
      <c r="D178" s="76">
        <f>(28*1.08+6*1.06)/1000</f>
        <v>3.6600000000000001E-2</v>
      </c>
      <c r="E178" s="60" t="s">
        <v>208</v>
      </c>
      <c r="F178" s="59"/>
      <c r="G178" s="14" t="s">
        <v>66</v>
      </c>
      <c r="H178" s="83"/>
      <c r="J178" s="83"/>
    </row>
    <row r="179" spans="1:10" ht="27.75" x14ac:dyDescent="0.2">
      <c r="A179" s="62"/>
      <c r="B179" s="18" t="s">
        <v>117</v>
      </c>
      <c r="C179" s="50" t="s">
        <v>63</v>
      </c>
      <c r="D179" s="76">
        <f>(33*0.54+36*0.15)/1000</f>
        <v>2.3219999999999998E-2</v>
      </c>
      <c r="E179" s="60" t="s">
        <v>209</v>
      </c>
      <c r="G179" s="14" t="s">
        <v>39</v>
      </c>
      <c r="H179" s="83"/>
      <c r="J179" s="83"/>
    </row>
    <row r="180" spans="1:10" ht="41.25" x14ac:dyDescent="0.2">
      <c r="A180" s="85">
        <f>A174+1</f>
        <v>32</v>
      </c>
      <c r="B180" s="14" t="s">
        <v>204</v>
      </c>
      <c r="C180" s="79" t="s">
        <v>63</v>
      </c>
      <c r="D180" s="76">
        <f>12*0.64/1000</f>
        <v>7.6799999999999993E-3</v>
      </c>
      <c r="E180" s="60" t="s">
        <v>202</v>
      </c>
      <c r="F180" s="92" t="s">
        <v>319</v>
      </c>
      <c r="G180" s="59" t="s">
        <v>205</v>
      </c>
      <c r="H180" s="95" t="s">
        <v>328</v>
      </c>
      <c r="J180" s="83"/>
    </row>
    <row r="181" spans="1:10" ht="41.25" x14ac:dyDescent="0.2">
      <c r="A181" s="62" t="s">
        <v>310</v>
      </c>
      <c r="B181" s="14" t="s">
        <v>294</v>
      </c>
      <c r="C181" s="20" t="s">
        <v>94</v>
      </c>
      <c r="D181" s="80">
        <v>12</v>
      </c>
      <c r="E181" s="80">
        <v>12</v>
      </c>
      <c r="F181" s="94"/>
      <c r="G181" s="94"/>
      <c r="H181" s="83"/>
      <c r="J181" s="83"/>
    </row>
    <row r="182" spans="1:10" x14ac:dyDescent="0.2">
      <c r="A182" s="62" t="s">
        <v>311</v>
      </c>
      <c r="B182" s="18" t="s">
        <v>203</v>
      </c>
      <c r="C182" s="50" t="s">
        <v>63</v>
      </c>
      <c r="D182" s="76">
        <f>12*0.64/1000</f>
        <v>7.6799999999999993E-3</v>
      </c>
      <c r="E182" s="60" t="s">
        <v>202</v>
      </c>
      <c r="F182" s="59"/>
      <c r="G182" s="14" t="s">
        <v>66</v>
      </c>
      <c r="H182" s="83"/>
      <c r="J182" s="83"/>
    </row>
    <row r="183" spans="1:10" ht="54.75" x14ac:dyDescent="0.2">
      <c r="A183" s="62" t="s">
        <v>324</v>
      </c>
      <c r="B183" s="18" t="s">
        <v>326</v>
      </c>
      <c r="C183" s="93" t="s">
        <v>94</v>
      </c>
      <c r="D183" s="76">
        <v>12</v>
      </c>
      <c r="E183" s="60">
        <v>12</v>
      </c>
      <c r="F183" s="59"/>
      <c r="G183" s="14"/>
      <c r="H183" s="83"/>
      <c r="J183" s="83"/>
    </row>
    <row r="184" spans="1:10" x14ac:dyDescent="0.2">
      <c r="A184" s="111" t="s">
        <v>95</v>
      </c>
      <c r="B184" s="113"/>
      <c r="C184" s="50"/>
      <c r="D184" s="63"/>
      <c r="E184" s="60"/>
      <c r="F184" s="59"/>
      <c r="G184" s="14"/>
      <c r="H184" s="83"/>
      <c r="J184" s="83"/>
    </row>
    <row r="185" spans="1:10" x14ac:dyDescent="0.2">
      <c r="A185" s="61">
        <f>A180+1</f>
        <v>33</v>
      </c>
      <c r="B185" s="14" t="s">
        <v>55</v>
      </c>
      <c r="C185" s="20" t="s">
        <v>62</v>
      </c>
      <c r="D185" s="12">
        <f>0.02</f>
        <v>0.02</v>
      </c>
      <c r="E185" s="12">
        <f>0.02</f>
        <v>0.02</v>
      </c>
      <c r="F185" s="13" t="s">
        <v>195</v>
      </c>
      <c r="G185" s="14"/>
      <c r="H185" s="83"/>
      <c r="J185" s="83"/>
    </row>
    <row r="186" spans="1:10" x14ac:dyDescent="0.2">
      <c r="A186" s="61"/>
      <c r="B186" s="18" t="s">
        <v>57</v>
      </c>
      <c r="C186" s="50" t="s">
        <v>62</v>
      </c>
      <c r="D186" s="55">
        <f>0.02*1.02</f>
        <v>2.0400000000000001E-2</v>
      </c>
      <c r="E186" s="55" t="s">
        <v>394</v>
      </c>
      <c r="F186" s="13"/>
      <c r="G186" s="14" t="s">
        <v>38</v>
      </c>
      <c r="H186" s="83"/>
      <c r="J186" s="83"/>
    </row>
    <row r="187" spans="1:10" x14ac:dyDescent="0.2">
      <c r="A187" s="61">
        <f>A185+1</f>
        <v>34</v>
      </c>
      <c r="B187" s="14" t="s">
        <v>89</v>
      </c>
      <c r="C187" s="20" t="s">
        <v>62</v>
      </c>
      <c r="D187" s="77">
        <f>1.01</f>
        <v>1.01</v>
      </c>
      <c r="E187" s="77">
        <f>1.01</f>
        <v>1.01</v>
      </c>
      <c r="F187" s="59"/>
      <c r="G187" s="14"/>
      <c r="H187" s="83"/>
      <c r="J187" s="83"/>
    </row>
    <row r="188" spans="1:10" x14ac:dyDescent="0.2">
      <c r="A188" s="62"/>
      <c r="B188" s="18" t="s">
        <v>58</v>
      </c>
      <c r="C188" s="50" t="s">
        <v>62</v>
      </c>
      <c r="D188" s="60">
        <f>1.01*1.015</f>
        <v>1.02515</v>
      </c>
      <c r="E188" s="60" t="s">
        <v>429</v>
      </c>
      <c r="F188" s="59"/>
      <c r="G188" s="14" t="s">
        <v>38</v>
      </c>
      <c r="H188" s="83"/>
      <c r="J188" s="83"/>
    </row>
    <row r="189" spans="1:10" x14ac:dyDescent="0.2">
      <c r="A189" s="62"/>
      <c r="B189" s="18" t="s">
        <v>65</v>
      </c>
      <c r="C189" s="50" t="s">
        <v>63</v>
      </c>
      <c r="D189" s="76">
        <f>6*3.9/1000</f>
        <v>2.3399999999999997E-2</v>
      </c>
      <c r="E189" s="60" t="s">
        <v>214</v>
      </c>
      <c r="F189" s="59"/>
      <c r="G189" s="14" t="s">
        <v>66</v>
      </c>
      <c r="H189" s="83"/>
      <c r="J189" s="83"/>
    </row>
    <row r="190" spans="1:10" x14ac:dyDescent="0.2">
      <c r="A190" s="62"/>
      <c r="B190" s="18" t="s">
        <v>60</v>
      </c>
      <c r="C190" s="50" t="s">
        <v>63</v>
      </c>
      <c r="D190" s="76">
        <f>(4*1.4+18*1.02+22*0.58+6*3.21)/1000</f>
        <v>5.5979999999999995E-2</v>
      </c>
      <c r="E190" s="60" t="s">
        <v>210</v>
      </c>
      <c r="F190" s="59"/>
      <c r="G190" s="14" t="s">
        <v>66</v>
      </c>
      <c r="H190" s="83"/>
      <c r="J190" s="83"/>
    </row>
    <row r="191" spans="1:10" ht="27.75" x14ac:dyDescent="0.2">
      <c r="A191" s="62"/>
      <c r="B191" s="18" t="s">
        <v>123</v>
      </c>
      <c r="C191" s="50" t="s">
        <v>63</v>
      </c>
      <c r="D191" s="76">
        <f>(20*1.08+6*1.06)/1000</f>
        <v>2.7960000000000002E-2</v>
      </c>
      <c r="E191" s="60" t="s">
        <v>211</v>
      </c>
      <c r="F191" s="59"/>
      <c r="G191" s="14" t="s">
        <v>66</v>
      </c>
      <c r="H191" s="83"/>
      <c r="J191" s="83"/>
    </row>
    <row r="192" spans="1:10" ht="27.75" x14ac:dyDescent="0.2">
      <c r="A192" s="62"/>
      <c r="B192" s="18" t="s">
        <v>117</v>
      </c>
      <c r="C192" s="50" t="s">
        <v>63</v>
      </c>
      <c r="D192" s="76">
        <f>(9*0.54+17*0.15)/1000</f>
        <v>7.4099999999999999E-3</v>
      </c>
      <c r="E192" s="60" t="s">
        <v>215</v>
      </c>
      <c r="F192" s="59"/>
      <c r="G192" s="14" t="s">
        <v>39</v>
      </c>
      <c r="H192" s="83"/>
      <c r="J192" s="83"/>
    </row>
    <row r="193" spans="1:10" ht="41.25" x14ac:dyDescent="0.2">
      <c r="A193" s="85">
        <f>A187+1</f>
        <v>35</v>
      </c>
      <c r="B193" s="14" t="s">
        <v>204</v>
      </c>
      <c r="C193" s="79" t="s">
        <v>63</v>
      </c>
      <c r="D193" s="76">
        <f>14*0.64/1000</f>
        <v>8.9600000000000009E-3</v>
      </c>
      <c r="E193" s="60" t="s">
        <v>212</v>
      </c>
      <c r="F193" s="92" t="s">
        <v>319</v>
      </c>
      <c r="G193" s="59" t="s">
        <v>205</v>
      </c>
      <c r="H193" s="95" t="s">
        <v>328</v>
      </c>
      <c r="J193" s="83"/>
    </row>
    <row r="194" spans="1:10" ht="41.25" x14ac:dyDescent="0.2">
      <c r="A194" s="62" t="s">
        <v>312</v>
      </c>
      <c r="B194" s="14" t="s">
        <v>294</v>
      </c>
      <c r="C194" s="20" t="s">
        <v>94</v>
      </c>
      <c r="D194" s="75">
        <v>14</v>
      </c>
      <c r="E194" s="81">
        <v>14</v>
      </c>
      <c r="F194" s="94"/>
      <c r="G194" s="94"/>
      <c r="H194" s="83"/>
      <c r="J194" s="83"/>
    </row>
    <row r="195" spans="1:10" x14ac:dyDescent="0.2">
      <c r="A195" s="62" t="s">
        <v>313</v>
      </c>
      <c r="B195" s="18" t="s">
        <v>213</v>
      </c>
      <c r="C195" s="50" t="s">
        <v>63</v>
      </c>
      <c r="D195" s="76">
        <f>14*0.64/1000</f>
        <v>8.9600000000000009E-3</v>
      </c>
      <c r="E195" s="60" t="s">
        <v>212</v>
      </c>
      <c r="F195" s="59"/>
      <c r="G195" s="14" t="s">
        <v>66</v>
      </c>
      <c r="H195" s="83"/>
      <c r="J195" s="83"/>
    </row>
    <row r="196" spans="1:10" ht="54.75" x14ac:dyDescent="0.2">
      <c r="A196" s="62" t="s">
        <v>327</v>
      </c>
      <c r="B196" s="18" t="s">
        <v>326</v>
      </c>
      <c r="C196" s="93" t="s">
        <v>94</v>
      </c>
      <c r="D196" s="76">
        <v>14</v>
      </c>
      <c r="E196" s="60">
        <v>14</v>
      </c>
      <c r="F196" s="59"/>
      <c r="G196" s="14"/>
      <c r="H196" s="83"/>
      <c r="J196" s="83"/>
    </row>
    <row r="197" spans="1:10" x14ac:dyDescent="0.2">
      <c r="A197" s="111" t="s">
        <v>96</v>
      </c>
      <c r="B197" s="113"/>
      <c r="C197" s="50"/>
      <c r="D197" s="63"/>
      <c r="E197" s="60"/>
      <c r="F197" s="59"/>
      <c r="G197" s="14"/>
      <c r="H197" s="83"/>
      <c r="J197" s="83"/>
    </row>
    <row r="198" spans="1:10" x14ac:dyDescent="0.2">
      <c r="A198" s="61">
        <f>A193+1</f>
        <v>36</v>
      </c>
      <c r="B198" s="14" t="s">
        <v>55</v>
      </c>
      <c r="C198" s="20" t="s">
        <v>62</v>
      </c>
      <c r="D198" s="12">
        <f>0.26*2</f>
        <v>0.52</v>
      </c>
      <c r="E198" s="12" t="s">
        <v>218</v>
      </c>
      <c r="F198" s="13" t="s">
        <v>217</v>
      </c>
      <c r="G198" s="14"/>
      <c r="H198" s="83"/>
      <c r="J198" s="83"/>
    </row>
    <row r="199" spans="1:10" x14ac:dyDescent="0.2">
      <c r="A199" s="61"/>
      <c r="B199" s="18" t="s">
        <v>57</v>
      </c>
      <c r="C199" s="50" t="s">
        <v>62</v>
      </c>
      <c r="D199" s="55">
        <f>0.26*2*1.02</f>
        <v>0.53039999999999998</v>
      </c>
      <c r="E199" s="55" t="s">
        <v>395</v>
      </c>
      <c r="F199" s="13"/>
      <c r="G199" s="14" t="s">
        <v>38</v>
      </c>
      <c r="H199" s="83"/>
      <c r="J199" s="83"/>
    </row>
    <row r="200" spans="1:10" x14ac:dyDescent="0.2">
      <c r="A200" s="61">
        <f>A198+1</f>
        <v>37</v>
      </c>
      <c r="B200" s="14" t="s">
        <v>89</v>
      </c>
      <c r="C200" s="20" t="s">
        <v>62</v>
      </c>
      <c r="D200" s="77">
        <f>3.01*2</f>
        <v>6.02</v>
      </c>
      <c r="E200" s="77" t="s">
        <v>219</v>
      </c>
      <c r="F200" s="59"/>
      <c r="G200" s="14"/>
      <c r="H200" s="83"/>
      <c r="J200" s="83"/>
    </row>
    <row r="201" spans="1:10" x14ac:dyDescent="0.2">
      <c r="A201" s="62"/>
      <c r="B201" s="18" t="s">
        <v>58</v>
      </c>
      <c r="C201" s="50" t="s">
        <v>62</v>
      </c>
      <c r="D201" s="60">
        <f>3.01*2</f>
        <v>6.02</v>
      </c>
      <c r="E201" s="60" t="s">
        <v>415</v>
      </c>
      <c r="F201" s="59"/>
      <c r="G201" s="14" t="s">
        <v>38</v>
      </c>
      <c r="H201" s="83"/>
      <c r="J201" s="83"/>
    </row>
    <row r="202" spans="1:10" ht="27.75" x14ac:dyDescent="0.2">
      <c r="A202" s="62"/>
      <c r="B202" s="18" t="s">
        <v>122</v>
      </c>
      <c r="C202" s="50" t="s">
        <v>63</v>
      </c>
      <c r="D202" s="76">
        <f>3*15.91*2/1000</f>
        <v>9.5460000000000003E-2</v>
      </c>
      <c r="E202" s="60" t="s">
        <v>220</v>
      </c>
      <c r="F202" s="59"/>
      <c r="G202" s="14" t="s">
        <v>66</v>
      </c>
      <c r="H202" s="83"/>
      <c r="J202" s="83"/>
    </row>
    <row r="203" spans="1:10" x14ac:dyDescent="0.2">
      <c r="A203" s="62"/>
      <c r="B203" s="18" t="s">
        <v>59</v>
      </c>
      <c r="C203" s="50" t="s">
        <v>63</v>
      </c>
      <c r="D203" s="76">
        <f>2*9.8*2/1000</f>
        <v>3.9200000000000006E-2</v>
      </c>
      <c r="E203" s="60" t="s">
        <v>238</v>
      </c>
      <c r="F203" s="59"/>
      <c r="G203" s="14" t="s">
        <v>66</v>
      </c>
      <c r="H203" s="83"/>
      <c r="J203" s="83"/>
    </row>
    <row r="204" spans="1:10" ht="27.75" x14ac:dyDescent="0.2">
      <c r="A204" s="62"/>
      <c r="B204" s="18" t="s">
        <v>60</v>
      </c>
      <c r="C204" s="50" t="s">
        <v>63</v>
      </c>
      <c r="D204" s="76">
        <f>(4*4.98+58*1.51+14*1.02+10*5.24)*2/1000</f>
        <v>0.34836</v>
      </c>
      <c r="E204" s="60" t="s">
        <v>221</v>
      </c>
      <c r="F204" s="59"/>
      <c r="G204" s="14" t="s">
        <v>66</v>
      </c>
      <c r="H204" s="83"/>
      <c r="J204" s="83"/>
    </row>
    <row r="205" spans="1:10" ht="27.75" x14ac:dyDescent="0.2">
      <c r="A205" s="62"/>
      <c r="B205" s="18" t="s">
        <v>123</v>
      </c>
      <c r="C205" s="50" t="s">
        <v>63</v>
      </c>
      <c r="D205" s="76">
        <f>(36*1.08+10*1.06)*2/1000</f>
        <v>9.8960000000000006E-2</v>
      </c>
      <c r="E205" s="60" t="s">
        <v>222</v>
      </c>
      <c r="F205" s="59"/>
      <c r="G205" s="14" t="s">
        <v>66</v>
      </c>
      <c r="H205" s="83"/>
      <c r="J205" s="83"/>
    </row>
    <row r="206" spans="1:10" ht="27.75" x14ac:dyDescent="0.2">
      <c r="A206" s="62"/>
      <c r="B206" s="18" t="s">
        <v>117</v>
      </c>
      <c r="C206" s="50" t="s">
        <v>63</v>
      </c>
      <c r="D206" s="76">
        <f>(36*0.58+51*0.15)*2/1000</f>
        <v>5.7059999999999993E-2</v>
      </c>
      <c r="E206" s="60" t="s">
        <v>223</v>
      </c>
      <c r="F206" s="59"/>
      <c r="G206" s="14" t="s">
        <v>39</v>
      </c>
      <c r="H206" s="83"/>
      <c r="J206" s="83"/>
    </row>
    <row r="207" spans="1:10" x14ac:dyDescent="0.2">
      <c r="A207" s="111" t="s">
        <v>97</v>
      </c>
      <c r="B207" s="113"/>
      <c r="C207" s="50"/>
      <c r="D207" s="63"/>
      <c r="E207" s="60"/>
      <c r="F207" s="59"/>
      <c r="G207" s="14"/>
      <c r="H207" s="83"/>
      <c r="J207" s="83"/>
    </row>
    <row r="208" spans="1:10" x14ac:dyDescent="0.2">
      <c r="A208" s="61">
        <f>A200+1</f>
        <v>38</v>
      </c>
      <c r="B208" s="14" t="s">
        <v>55</v>
      </c>
      <c r="C208" s="20" t="s">
        <v>62</v>
      </c>
      <c r="D208" s="12">
        <f>0.25*4</f>
        <v>1</v>
      </c>
      <c r="E208" s="12" t="s">
        <v>224</v>
      </c>
      <c r="F208" s="13" t="s">
        <v>217</v>
      </c>
      <c r="G208" s="14"/>
      <c r="H208" s="83"/>
      <c r="J208" s="83"/>
    </row>
    <row r="209" spans="1:10" x14ac:dyDescent="0.2">
      <c r="A209" s="61"/>
      <c r="B209" s="18" t="s">
        <v>57</v>
      </c>
      <c r="C209" s="50" t="s">
        <v>62</v>
      </c>
      <c r="D209" s="55">
        <f>0.25*4*1.02</f>
        <v>1.02</v>
      </c>
      <c r="E209" s="55" t="s">
        <v>396</v>
      </c>
      <c r="F209" s="13"/>
      <c r="G209" s="14" t="s">
        <v>38</v>
      </c>
      <c r="H209" s="83"/>
      <c r="J209" s="83"/>
    </row>
    <row r="210" spans="1:10" x14ac:dyDescent="0.2">
      <c r="A210" s="61">
        <f>A208+1</f>
        <v>39</v>
      </c>
      <c r="B210" s="14" t="s">
        <v>89</v>
      </c>
      <c r="C210" s="20" t="s">
        <v>62</v>
      </c>
      <c r="D210" s="78">
        <f>2.83*4</f>
        <v>11.32</v>
      </c>
      <c r="E210" s="78" t="s">
        <v>225</v>
      </c>
      <c r="F210" s="59"/>
      <c r="G210" s="14"/>
      <c r="H210" s="83"/>
      <c r="J210" s="83"/>
    </row>
    <row r="211" spans="1:10" x14ac:dyDescent="0.2">
      <c r="A211" s="62"/>
      <c r="B211" s="18" t="s">
        <v>58</v>
      </c>
      <c r="C211" s="50" t="s">
        <v>62</v>
      </c>
      <c r="D211" s="60">
        <f>2.83*4*1.015</f>
        <v>11.489799999999999</v>
      </c>
      <c r="E211" s="60" t="s">
        <v>416</v>
      </c>
      <c r="F211" s="59"/>
      <c r="G211" s="14" t="s">
        <v>38</v>
      </c>
      <c r="H211" s="83"/>
      <c r="J211" s="83"/>
    </row>
    <row r="212" spans="1:10" ht="27.75" x14ac:dyDescent="0.2">
      <c r="A212" s="62"/>
      <c r="B212" s="18" t="s">
        <v>122</v>
      </c>
      <c r="C212" s="50" t="s">
        <v>63</v>
      </c>
      <c r="D212" s="76">
        <f>3*15.29*4/1000</f>
        <v>0.18347999999999998</v>
      </c>
      <c r="E212" s="60" t="s">
        <v>226</v>
      </c>
      <c r="F212" s="59"/>
      <c r="G212" s="14" t="s">
        <v>66</v>
      </c>
      <c r="H212" s="83"/>
      <c r="J212" s="83"/>
    </row>
    <row r="213" spans="1:10" ht="27.75" x14ac:dyDescent="0.2">
      <c r="A213" s="62"/>
      <c r="B213" s="18" t="s">
        <v>119</v>
      </c>
      <c r="C213" s="50" t="s">
        <v>63</v>
      </c>
      <c r="D213" s="76">
        <f>2*9.41*4/1000</f>
        <v>7.528E-2</v>
      </c>
      <c r="E213" s="60" t="s">
        <v>227</v>
      </c>
      <c r="F213" s="59"/>
      <c r="G213" s="14" t="s">
        <v>66</v>
      </c>
      <c r="H213" s="83"/>
      <c r="J213" s="83"/>
    </row>
    <row r="214" spans="1:10" ht="27.75" x14ac:dyDescent="0.2">
      <c r="A214" s="62"/>
      <c r="B214" s="18" t="s">
        <v>60</v>
      </c>
      <c r="C214" s="50" t="s">
        <v>63</v>
      </c>
      <c r="D214" s="76">
        <f>(4*4.76+56*1.51+12*1.02+10*4.88)*4/1000</f>
        <v>0.65855999999999992</v>
      </c>
      <c r="E214" s="60" t="s">
        <v>228</v>
      </c>
      <c r="F214" s="59"/>
      <c r="G214" s="14" t="s">
        <v>66</v>
      </c>
      <c r="H214" s="83"/>
      <c r="J214" s="83"/>
    </row>
    <row r="215" spans="1:10" ht="27.75" x14ac:dyDescent="0.2">
      <c r="A215" s="62"/>
      <c r="B215" s="18" t="s">
        <v>123</v>
      </c>
      <c r="C215" s="50" t="s">
        <v>63</v>
      </c>
      <c r="D215" s="76">
        <f>(34*1.08+10*1.06)*4/1000</f>
        <v>0.18928</v>
      </c>
      <c r="E215" s="60" t="s">
        <v>229</v>
      </c>
      <c r="F215" s="59"/>
      <c r="G215" s="14" t="s">
        <v>66</v>
      </c>
      <c r="H215" s="83"/>
      <c r="J215" s="83"/>
    </row>
    <row r="216" spans="1:10" ht="27.75" x14ac:dyDescent="0.2">
      <c r="A216" s="62"/>
      <c r="B216" s="18" t="s">
        <v>117</v>
      </c>
      <c r="C216" s="50" t="s">
        <v>63</v>
      </c>
      <c r="D216" s="76">
        <f>(35*0.58+48*0.15)*4/1000</f>
        <v>0.10999999999999999</v>
      </c>
      <c r="E216" s="60" t="s">
        <v>230</v>
      </c>
      <c r="F216" s="59"/>
      <c r="G216" s="14" t="s">
        <v>39</v>
      </c>
      <c r="H216" s="83"/>
      <c r="J216" s="83"/>
    </row>
    <row r="217" spans="1:10" x14ac:dyDescent="0.2">
      <c r="A217" s="111" t="s">
        <v>98</v>
      </c>
      <c r="B217" s="113"/>
      <c r="C217" s="50"/>
      <c r="D217" s="63"/>
      <c r="E217" s="60"/>
      <c r="F217" s="59"/>
      <c r="G217" s="14"/>
      <c r="H217" s="83"/>
      <c r="J217" s="83"/>
    </row>
    <row r="218" spans="1:10" x14ac:dyDescent="0.2">
      <c r="A218" s="61">
        <f>A210+1</f>
        <v>40</v>
      </c>
      <c r="B218" s="14" t="s">
        <v>55</v>
      </c>
      <c r="C218" s="20" t="s">
        <v>62</v>
      </c>
      <c r="D218" s="12">
        <f>4*0.18</f>
        <v>0.72</v>
      </c>
      <c r="E218" s="12" t="s">
        <v>233</v>
      </c>
      <c r="F218" s="13" t="s">
        <v>217</v>
      </c>
      <c r="G218" s="14"/>
      <c r="H218" s="83"/>
      <c r="J218" s="83"/>
    </row>
    <row r="219" spans="1:10" x14ac:dyDescent="0.2">
      <c r="A219" s="61"/>
      <c r="B219" s="18" t="s">
        <v>57</v>
      </c>
      <c r="C219" s="50" t="s">
        <v>62</v>
      </c>
      <c r="D219" s="55">
        <f>4*0.18*1.02</f>
        <v>0.73439999999999994</v>
      </c>
      <c r="E219" s="55" t="s">
        <v>397</v>
      </c>
      <c r="F219" s="13"/>
      <c r="G219" s="14" t="s">
        <v>38</v>
      </c>
      <c r="H219" s="83"/>
      <c r="J219" s="83"/>
    </row>
    <row r="220" spans="1:10" x14ac:dyDescent="0.2">
      <c r="A220" s="61">
        <f>A218+1</f>
        <v>41</v>
      </c>
      <c r="B220" s="14" t="s">
        <v>89</v>
      </c>
      <c r="C220" s="20" t="s">
        <v>62</v>
      </c>
      <c r="D220" s="78">
        <f>4*2.53</f>
        <v>10.119999999999999</v>
      </c>
      <c r="E220" s="78" t="s">
        <v>234</v>
      </c>
      <c r="F220" s="59"/>
      <c r="G220" s="14"/>
      <c r="H220" s="83"/>
      <c r="J220" s="83"/>
    </row>
    <row r="221" spans="1:10" x14ac:dyDescent="0.2">
      <c r="A221" s="62"/>
      <c r="B221" s="18" t="s">
        <v>58</v>
      </c>
      <c r="C221" s="50" t="s">
        <v>62</v>
      </c>
      <c r="D221" s="60">
        <f>4*2.53*1.015</f>
        <v>10.271799999999999</v>
      </c>
      <c r="E221" s="60" t="s">
        <v>417</v>
      </c>
      <c r="F221" s="59"/>
      <c r="G221" s="14" t="s">
        <v>38</v>
      </c>
      <c r="H221" s="83"/>
      <c r="J221" s="83"/>
    </row>
    <row r="222" spans="1:10" ht="27.75" x14ac:dyDescent="0.2">
      <c r="A222" s="62"/>
      <c r="B222" s="18" t="s">
        <v>122</v>
      </c>
      <c r="C222" s="50" t="s">
        <v>63</v>
      </c>
      <c r="D222" s="76">
        <f>3*11.59*4/1000</f>
        <v>0.13907999999999998</v>
      </c>
      <c r="E222" s="60" t="s">
        <v>235</v>
      </c>
      <c r="F222" s="59"/>
      <c r="G222" s="14" t="s">
        <v>66</v>
      </c>
      <c r="H222" s="83"/>
      <c r="J222" s="83"/>
    </row>
    <row r="223" spans="1:10" ht="27.75" x14ac:dyDescent="0.2">
      <c r="A223" s="62"/>
      <c r="B223" s="18" t="s">
        <v>119</v>
      </c>
      <c r="C223" s="50" t="s">
        <v>63</v>
      </c>
      <c r="D223" s="76">
        <f>2*7.04*4/1000</f>
        <v>5.6320000000000002E-2</v>
      </c>
      <c r="E223" s="60" t="s">
        <v>236</v>
      </c>
      <c r="F223" s="59"/>
      <c r="G223" s="14" t="s">
        <v>66</v>
      </c>
      <c r="H223" s="83"/>
      <c r="J223" s="83"/>
    </row>
    <row r="224" spans="1:10" ht="27.75" x14ac:dyDescent="0.2">
      <c r="A224" s="62"/>
      <c r="B224" s="18" t="s">
        <v>60</v>
      </c>
      <c r="C224" s="50" t="s">
        <v>63</v>
      </c>
      <c r="D224" s="76">
        <f>(4*3.43+40*1.51+24*1.02+10*4.88)*4/1000</f>
        <v>0.58960000000000001</v>
      </c>
      <c r="E224" s="60" t="s">
        <v>237</v>
      </c>
      <c r="F224" s="59"/>
      <c r="G224" s="14" t="s">
        <v>66</v>
      </c>
      <c r="H224" s="83"/>
      <c r="J224" s="83"/>
    </row>
    <row r="225" spans="1:10" ht="27.75" x14ac:dyDescent="0.2">
      <c r="A225" s="62"/>
      <c r="B225" s="18" t="s">
        <v>123</v>
      </c>
      <c r="C225" s="50" t="s">
        <v>63</v>
      </c>
      <c r="D225" s="76">
        <f>(32*1.08+10*1.06)*4/1000</f>
        <v>0.18064000000000002</v>
      </c>
      <c r="E225" s="60" t="s">
        <v>231</v>
      </c>
      <c r="F225" s="59"/>
      <c r="G225" s="14" t="s">
        <v>66</v>
      </c>
      <c r="H225" s="83"/>
      <c r="J225" s="83"/>
    </row>
    <row r="226" spans="1:10" ht="27.75" x14ac:dyDescent="0.2">
      <c r="A226" s="62"/>
      <c r="B226" s="18" t="s">
        <v>117</v>
      </c>
      <c r="C226" s="50" t="s">
        <v>63</v>
      </c>
      <c r="D226" s="76">
        <f>(27*0.58+40*0.15)*4/1000</f>
        <v>8.6639999999999981E-2</v>
      </c>
      <c r="E226" s="60" t="s">
        <v>232</v>
      </c>
      <c r="F226" s="59"/>
      <c r="G226" s="14" t="s">
        <v>39</v>
      </c>
      <c r="H226" s="83"/>
      <c r="J226" s="83"/>
    </row>
    <row r="227" spans="1:10" x14ac:dyDescent="0.2">
      <c r="A227" s="111" t="s">
        <v>99</v>
      </c>
      <c r="B227" s="113"/>
      <c r="C227" s="50"/>
      <c r="D227" s="63"/>
      <c r="E227" s="60"/>
      <c r="F227" s="59"/>
      <c r="G227" s="14"/>
      <c r="H227" s="83"/>
      <c r="J227" s="83"/>
    </row>
    <row r="228" spans="1:10" x14ac:dyDescent="0.2">
      <c r="A228" s="61">
        <f>A220+1</f>
        <v>42</v>
      </c>
      <c r="B228" s="14" t="s">
        <v>55</v>
      </c>
      <c r="C228" s="20" t="s">
        <v>62</v>
      </c>
      <c r="D228" s="12">
        <f>0.19*2</f>
        <v>0.38</v>
      </c>
      <c r="E228" s="12" t="s">
        <v>239</v>
      </c>
      <c r="F228" s="13" t="s">
        <v>244</v>
      </c>
      <c r="G228" s="14"/>
      <c r="H228" s="83"/>
      <c r="J228" s="83"/>
    </row>
    <row r="229" spans="1:10" x14ac:dyDescent="0.2">
      <c r="A229" s="61"/>
      <c r="B229" s="18" t="s">
        <v>57</v>
      </c>
      <c r="C229" s="50" t="s">
        <v>62</v>
      </c>
      <c r="D229" s="55">
        <f>0.19*2*1.02</f>
        <v>0.3876</v>
      </c>
      <c r="E229" s="55" t="s">
        <v>398</v>
      </c>
      <c r="F229" s="13"/>
      <c r="G229" s="14" t="s">
        <v>38</v>
      </c>
      <c r="H229" s="83"/>
      <c r="J229" s="83"/>
    </row>
    <row r="230" spans="1:10" x14ac:dyDescent="0.2">
      <c r="A230" s="61">
        <f>A228+1</f>
        <v>43</v>
      </c>
      <c r="B230" s="14" t="s">
        <v>89</v>
      </c>
      <c r="C230" s="20" t="s">
        <v>62</v>
      </c>
      <c r="D230" s="77">
        <f>0.56*2</f>
        <v>1.1200000000000001</v>
      </c>
      <c r="E230" s="77" t="s">
        <v>240</v>
      </c>
      <c r="F230" s="59"/>
      <c r="G230" s="14"/>
      <c r="H230" s="83"/>
      <c r="J230" s="83"/>
    </row>
    <row r="231" spans="1:10" x14ac:dyDescent="0.2">
      <c r="A231" s="62"/>
      <c r="B231" s="18" t="s">
        <v>58</v>
      </c>
      <c r="C231" s="50" t="s">
        <v>62</v>
      </c>
      <c r="D231" s="60">
        <f>0.56*2*1.015</f>
        <v>1.1368</v>
      </c>
      <c r="E231" s="60" t="s">
        <v>418</v>
      </c>
      <c r="F231" s="59"/>
      <c r="G231" s="14" t="s">
        <v>38</v>
      </c>
      <c r="H231" s="83"/>
      <c r="J231" s="83"/>
    </row>
    <row r="232" spans="1:10" ht="27.75" x14ac:dyDescent="0.2">
      <c r="A232" s="62"/>
      <c r="B232" s="18" t="s">
        <v>119</v>
      </c>
      <c r="C232" s="50" t="s">
        <v>63</v>
      </c>
      <c r="D232" s="76">
        <f>4*7.43*2/1000</f>
        <v>5.944E-2</v>
      </c>
      <c r="E232" s="60" t="s">
        <v>241</v>
      </c>
      <c r="F232" s="59"/>
      <c r="G232" s="14" t="s">
        <v>66</v>
      </c>
      <c r="H232" s="83"/>
      <c r="J232" s="83"/>
    </row>
    <row r="233" spans="1:10" x14ac:dyDescent="0.2">
      <c r="A233" s="62"/>
      <c r="B233" s="18" t="s">
        <v>60</v>
      </c>
      <c r="C233" s="50" t="s">
        <v>63</v>
      </c>
      <c r="D233" s="76">
        <f>4*3.65*2/1000</f>
        <v>2.92E-2</v>
      </c>
      <c r="E233" s="60" t="s">
        <v>242</v>
      </c>
      <c r="F233" s="59"/>
      <c r="G233" s="14" t="s">
        <v>66</v>
      </c>
      <c r="H233" s="83"/>
      <c r="J233" s="83"/>
    </row>
    <row r="234" spans="1:10" ht="27.75" x14ac:dyDescent="0.2">
      <c r="A234" s="62"/>
      <c r="B234" s="18" t="s">
        <v>117</v>
      </c>
      <c r="C234" s="50" t="s">
        <v>63</v>
      </c>
      <c r="D234" s="76">
        <f>(19*0.56+19*0.15)*2/1000</f>
        <v>2.6980000000000001E-2</v>
      </c>
      <c r="E234" s="60" t="s">
        <v>243</v>
      </c>
      <c r="F234" s="59"/>
      <c r="G234" s="14" t="s">
        <v>39</v>
      </c>
      <c r="H234" s="83"/>
      <c r="J234" s="83"/>
    </row>
    <row r="235" spans="1:10" x14ac:dyDescent="0.2">
      <c r="A235" s="111" t="s">
        <v>100</v>
      </c>
      <c r="B235" s="113"/>
      <c r="C235" s="50"/>
      <c r="D235" s="63"/>
      <c r="E235" s="60"/>
      <c r="F235" s="59"/>
      <c r="G235" s="14"/>
      <c r="H235" s="83"/>
      <c r="J235" s="83"/>
    </row>
    <row r="236" spans="1:10" x14ac:dyDescent="0.2">
      <c r="A236" s="61">
        <f>A228+1</f>
        <v>43</v>
      </c>
      <c r="B236" s="14" t="s">
        <v>55</v>
      </c>
      <c r="C236" s="20" t="s">
        <v>62</v>
      </c>
      <c r="D236" s="12">
        <f>0.24*2</f>
        <v>0.48</v>
      </c>
      <c r="E236" s="12" t="s">
        <v>247</v>
      </c>
      <c r="F236" s="13" t="s">
        <v>244</v>
      </c>
      <c r="G236" s="14"/>
      <c r="H236" s="83"/>
      <c r="J236" s="83"/>
    </row>
    <row r="237" spans="1:10" x14ac:dyDescent="0.2">
      <c r="A237" s="61"/>
      <c r="B237" s="18" t="s">
        <v>57</v>
      </c>
      <c r="C237" s="50" t="s">
        <v>62</v>
      </c>
      <c r="D237" s="55">
        <f>0.24*2*1.02</f>
        <v>0.48959999999999998</v>
      </c>
      <c r="E237" s="55" t="s">
        <v>399</v>
      </c>
      <c r="F237" s="13"/>
      <c r="G237" s="14" t="s">
        <v>38</v>
      </c>
      <c r="H237" s="83"/>
      <c r="J237" s="83"/>
    </row>
    <row r="238" spans="1:10" x14ac:dyDescent="0.2">
      <c r="A238" s="61">
        <f>A236+1</f>
        <v>44</v>
      </c>
      <c r="B238" s="14" t="s">
        <v>89</v>
      </c>
      <c r="C238" s="20" t="s">
        <v>62</v>
      </c>
      <c r="D238" s="77">
        <f>2.4*2</f>
        <v>4.8</v>
      </c>
      <c r="E238" s="77" t="s">
        <v>248</v>
      </c>
      <c r="F238" s="59"/>
      <c r="G238" s="14"/>
      <c r="H238" s="83"/>
      <c r="J238" s="83"/>
    </row>
    <row r="239" spans="1:10" x14ac:dyDescent="0.2">
      <c r="A239" s="62"/>
      <c r="B239" s="18" t="s">
        <v>58</v>
      </c>
      <c r="C239" s="50" t="s">
        <v>62</v>
      </c>
      <c r="D239" s="60">
        <f>2.4*2*1.015</f>
        <v>4.871999999999999</v>
      </c>
      <c r="E239" s="60" t="s">
        <v>419</v>
      </c>
      <c r="F239" s="59"/>
      <c r="G239" s="14" t="s">
        <v>38</v>
      </c>
      <c r="H239" s="83"/>
      <c r="J239" s="83"/>
    </row>
    <row r="240" spans="1:10" ht="27.75" x14ac:dyDescent="0.2">
      <c r="A240" s="62"/>
      <c r="B240" s="18" t="s">
        <v>122</v>
      </c>
      <c r="C240" s="50" t="s">
        <v>63</v>
      </c>
      <c r="D240" s="76">
        <f>2*14.55*2/1000</f>
        <v>5.8200000000000002E-2</v>
      </c>
      <c r="E240" s="60" t="s">
        <v>245</v>
      </c>
      <c r="F240" s="59"/>
      <c r="G240" s="14" t="s">
        <v>66</v>
      </c>
      <c r="H240" s="83"/>
      <c r="J240" s="83"/>
    </row>
    <row r="241" spans="1:10" ht="27.75" x14ac:dyDescent="0.2">
      <c r="A241" s="62"/>
      <c r="B241" s="18" t="s">
        <v>119</v>
      </c>
      <c r="C241" s="50" t="s">
        <v>63</v>
      </c>
      <c r="D241" s="76">
        <f>2*8.93*2/1000</f>
        <v>3.5720000000000002E-2</v>
      </c>
      <c r="E241" s="60" t="s">
        <v>249</v>
      </c>
      <c r="F241" s="59"/>
      <c r="G241" s="14" t="s">
        <v>66</v>
      </c>
      <c r="H241" s="83"/>
      <c r="J241" s="83"/>
    </row>
    <row r="242" spans="1:10" x14ac:dyDescent="0.2">
      <c r="A242" s="62"/>
      <c r="B242" s="18" t="s">
        <v>60</v>
      </c>
      <c r="C242" s="50" t="s">
        <v>63</v>
      </c>
      <c r="D242" s="76">
        <f>(64*1.47+4*4.49+10*4.61)*2/1000</f>
        <v>0.31627999999999995</v>
      </c>
      <c r="E242" s="60" t="s">
        <v>250</v>
      </c>
      <c r="F242" s="59"/>
      <c r="G242" s="14" t="s">
        <v>66</v>
      </c>
      <c r="H242" s="83"/>
      <c r="J242" s="83"/>
    </row>
    <row r="243" spans="1:10" ht="27.75" x14ac:dyDescent="0.2">
      <c r="A243" s="62"/>
      <c r="B243" s="18" t="s">
        <v>123</v>
      </c>
      <c r="C243" s="50" t="s">
        <v>63</v>
      </c>
      <c r="D243" s="76">
        <f>(32*1.08+10*1.06)*2/1000</f>
        <v>9.0320000000000011E-2</v>
      </c>
      <c r="E243" s="60" t="s">
        <v>246</v>
      </c>
      <c r="F243" s="59"/>
      <c r="G243" s="14" t="s">
        <v>66</v>
      </c>
      <c r="H243" s="83"/>
      <c r="J243" s="83"/>
    </row>
    <row r="244" spans="1:10" ht="27.75" x14ac:dyDescent="0.2">
      <c r="A244" s="62"/>
      <c r="B244" s="18" t="s">
        <v>117</v>
      </c>
      <c r="C244" s="50" t="s">
        <v>63</v>
      </c>
      <c r="D244" s="76">
        <f>(43*0.15+32*0.54)*2/1000</f>
        <v>4.7460000000000002E-2</v>
      </c>
      <c r="E244" s="60" t="s">
        <v>251</v>
      </c>
      <c r="F244" s="59"/>
      <c r="G244" s="14" t="s">
        <v>39</v>
      </c>
      <c r="H244" s="83"/>
      <c r="J244" s="83"/>
    </row>
    <row r="245" spans="1:10" x14ac:dyDescent="0.2">
      <c r="A245" s="111" t="s">
        <v>101</v>
      </c>
      <c r="B245" s="113"/>
      <c r="C245" s="50"/>
      <c r="D245" s="63"/>
      <c r="E245" s="60"/>
      <c r="F245" s="59"/>
      <c r="G245" s="14"/>
      <c r="H245" s="83"/>
      <c r="J245" s="83"/>
    </row>
    <row r="246" spans="1:10" x14ac:dyDescent="0.2">
      <c r="A246" s="61">
        <f>A238+1</f>
        <v>45</v>
      </c>
      <c r="B246" s="14" t="s">
        <v>55</v>
      </c>
      <c r="C246" s="20" t="s">
        <v>62</v>
      </c>
      <c r="D246" s="12">
        <f>0.25*2</f>
        <v>0.5</v>
      </c>
      <c r="E246" s="12" t="s">
        <v>252</v>
      </c>
      <c r="F246" s="13" t="s">
        <v>244</v>
      </c>
      <c r="G246" s="14"/>
      <c r="H246" s="83"/>
      <c r="J246" s="83"/>
    </row>
    <row r="247" spans="1:10" x14ac:dyDescent="0.2">
      <c r="A247" s="61"/>
      <c r="B247" s="18" t="s">
        <v>57</v>
      </c>
      <c r="C247" s="50" t="s">
        <v>62</v>
      </c>
      <c r="D247" s="55">
        <f>0.25*2*1.02</f>
        <v>0.51</v>
      </c>
      <c r="E247" s="55" t="s">
        <v>400</v>
      </c>
      <c r="F247" s="13"/>
      <c r="G247" s="14" t="s">
        <v>38</v>
      </c>
      <c r="H247" s="83"/>
      <c r="J247" s="83"/>
    </row>
    <row r="248" spans="1:10" x14ac:dyDescent="0.2">
      <c r="A248" s="61">
        <f>A246+1</f>
        <v>46</v>
      </c>
      <c r="B248" s="14" t="s">
        <v>89</v>
      </c>
      <c r="C248" s="20" t="s">
        <v>62</v>
      </c>
      <c r="D248" s="78">
        <f>2.9*2</f>
        <v>5.8</v>
      </c>
      <c r="E248" s="78" t="s">
        <v>253</v>
      </c>
      <c r="F248" s="59"/>
      <c r="G248" s="14"/>
      <c r="H248" s="83"/>
      <c r="J248" s="83"/>
    </row>
    <row r="249" spans="1:10" x14ac:dyDescent="0.2">
      <c r="A249" s="62"/>
      <c r="B249" s="18" t="s">
        <v>58</v>
      </c>
      <c r="C249" s="50" t="s">
        <v>62</v>
      </c>
      <c r="D249" s="60">
        <f>2.9*2*1.015</f>
        <v>5.8869999999999996</v>
      </c>
      <c r="E249" s="60" t="s">
        <v>420</v>
      </c>
      <c r="F249" s="59"/>
      <c r="G249" s="14" t="s">
        <v>38</v>
      </c>
      <c r="H249" s="83"/>
      <c r="J249" s="83"/>
    </row>
    <row r="250" spans="1:10" ht="27.75" x14ac:dyDescent="0.2">
      <c r="A250" s="62"/>
      <c r="B250" s="18" t="s">
        <v>122</v>
      </c>
      <c r="C250" s="50" t="s">
        <v>63</v>
      </c>
      <c r="D250" s="76">
        <f>4*15.29*2/1000</f>
        <v>0.12232</v>
      </c>
      <c r="E250" s="60" t="s">
        <v>257</v>
      </c>
      <c r="F250" s="59"/>
      <c r="G250" s="14" t="s">
        <v>66</v>
      </c>
      <c r="H250" s="83"/>
      <c r="J250" s="83"/>
    </row>
    <row r="251" spans="1:10" ht="27.75" x14ac:dyDescent="0.2">
      <c r="A251" s="62"/>
      <c r="B251" s="18" t="s">
        <v>60</v>
      </c>
      <c r="C251" s="50" t="s">
        <v>63</v>
      </c>
      <c r="D251" s="76">
        <f>(4*4.76+56*1.55+12*1.02+10*4.88)*2/1000</f>
        <v>0.33376</v>
      </c>
      <c r="E251" s="60" t="s">
        <v>254</v>
      </c>
      <c r="F251" s="59"/>
      <c r="G251" s="14" t="s">
        <v>66</v>
      </c>
      <c r="H251" s="83"/>
      <c r="J251" s="83"/>
    </row>
    <row r="252" spans="1:10" ht="27.75" x14ac:dyDescent="0.2">
      <c r="A252" s="62"/>
      <c r="B252" s="18" t="s">
        <v>123</v>
      </c>
      <c r="C252" s="50" t="s">
        <v>63</v>
      </c>
      <c r="D252" s="76">
        <f>(34*1.08+10*1.06)*2/1000</f>
        <v>9.4640000000000002E-2</v>
      </c>
      <c r="E252" s="60" t="s">
        <v>255</v>
      </c>
      <c r="F252" s="59"/>
      <c r="G252" s="14" t="s">
        <v>66</v>
      </c>
      <c r="H252" s="83"/>
      <c r="J252" s="83"/>
    </row>
    <row r="253" spans="1:10" ht="27.75" x14ac:dyDescent="0.2">
      <c r="A253" s="62"/>
      <c r="B253" s="18" t="s">
        <v>117</v>
      </c>
      <c r="C253" s="50" t="s">
        <v>63</v>
      </c>
      <c r="D253" s="76">
        <f>(35*0.62+48*0.15)*2/1000</f>
        <v>5.7799999999999997E-2</v>
      </c>
      <c r="E253" s="60" t="s">
        <v>256</v>
      </c>
      <c r="F253" s="59"/>
      <c r="G253" s="14" t="s">
        <v>39</v>
      </c>
      <c r="H253" s="83"/>
      <c r="J253" s="83"/>
    </row>
    <row r="254" spans="1:10" x14ac:dyDescent="0.2">
      <c r="A254" s="111" t="s">
        <v>102</v>
      </c>
      <c r="B254" s="113"/>
      <c r="C254" s="50"/>
      <c r="D254" s="63"/>
      <c r="E254" s="60"/>
      <c r="F254" s="59"/>
      <c r="G254" s="14"/>
      <c r="H254" s="83"/>
      <c r="J254" s="83"/>
    </row>
    <row r="255" spans="1:10" x14ac:dyDescent="0.2">
      <c r="A255" s="61">
        <f>A248+1</f>
        <v>47</v>
      </c>
      <c r="B255" s="14" t="s">
        <v>55</v>
      </c>
      <c r="C255" s="20" t="s">
        <v>62</v>
      </c>
      <c r="D255" s="12">
        <f>2*0.18</f>
        <v>0.36</v>
      </c>
      <c r="E255" s="12" t="s">
        <v>259</v>
      </c>
      <c r="F255" s="13" t="s">
        <v>258</v>
      </c>
      <c r="G255" s="14"/>
      <c r="H255" s="83"/>
      <c r="J255" s="83"/>
    </row>
    <row r="256" spans="1:10" x14ac:dyDescent="0.2">
      <c r="A256" s="61"/>
      <c r="B256" s="18" t="s">
        <v>57</v>
      </c>
      <c r="C256" s="50" t="s">
        <v>62</v>
      </c>
      <c r="D256" s="55">
        <f>2*0.18*1.02</f>
        <v>0.36719999999999997</v>
      </c>
      <c r="E256" s="55" t="s">
        <v>401</v>
      </c>
      <c r="F256" s="13"/>
      <c r="G256" s="14" t="s">
        <v>38</v>
      </c>
      <c r="H256" s="83"/>
      <c r="J256" s="83"/>
    </row>
    <row r="257" spans="1:10" x14ac:dyDescent="0.2">
      <c r="A257" s="61">
        <f>A255+1</f>
        <v>48</v>
      </c>
      <c r="B257" s="14" t="s">
        <v>89</v>
      </c>
      <c r="C257" s="20" t="s">
        <v>62</v>
      </c>
      <c r="D257" s="77">
        <f>2.63*2</f>
        <v>5.26</v>
      </c>
      <c r="E257" s="77" t="s">
        <v>260</v>
      </c>
      <c r="F257" s="59"/>
      <c r="G257" s="14"/>
      <c r="H257" s="83"/>
      <c r="J257" s="83"/>
    </row>
    <row r="258" spans="1:10" x14ac:dyDescent="0.2">
      <c r="A258" s="62"/>
      <c r="B258" s="18" t="s">
        <v>58</v>
      </c>
      <c r="C258" s="50" t="s">
        <v>62</v>
      </c>
      <c r="D258" s="60">
        <f>2.63*2*1.015</f>
        <v>5.3388999999999989</v>
      </c>
      <c r="E258" s="60" t="s">
        <v>421</v>
      </c>
      <c r="F258" s="59"/>
      <c r="G258" s="14" t="s">
        <v>38</v>
      </c>
      <c r="H258" s="83"/>
      <c r="J258" s="83"/>
    </row>
    <row r="259" spans="1:10" ht="27.75" x14ac:dyDescent="0.2">
      <c r="A259" s="62"/>
      <c r="B259" s="18" t="s">
        <v>122</v>
      </c>
      <c r="C259" s="50" t="s">
        <v>63</v>
      </c>
      <c r="D259" s="76">
        <f>4*11.59*2/1000</f>
        <v>9.2719999999999997E-2</v>
      </c>
      <c r="E259" s="60" t="s">
        <v>261</v>
      </c>
      <c r="F259" s="59"/>
      <c r="G259" s="14" t="s">
        <v>66</v>
      </c>
      <c r="H259" s="83"/>
      <c r="J259" s="83"/>
    </row>
    <row r="260" spans="1:10" ht="27.75" x14ac:dyDescent="0.2">
      <c r="A260" s="62"/>
      <c r="B260" s="18" t="s">
        <v>60</v>
      </c>
      <c r="C260" s="50" t="s">
        <v>63</v>
      </c>
      <c r="D260" s="76">
        <f>(4*3.43+40*1.55+24*1.02+10*4.88)*2/1000</f>
        <v>0.29799999999999999</v>
      </c>
      <c r="E260" s="60" t="s">
        <v>262</v>
      </c>
      <c r="F260" s="59"/>
      <c r="G260" s="14" t="s">
        <v>66</v>
      </c>
      <c r="H260" s="83"/>
      <c r="J260" s="83"/>
    </row>
    <row r="261" spans="1:10" ht="27.75" x14ac:dyDescent="0.2">
      <c r="A261" s="62"/>
      <c r="B261" s="18" t="s">
        <v>123</v>
      </c>
      <c r="C261" s="50" t="s">
        <v>63</v>
      </c>
      <c r="D261" s="76">
        <f>(32*1.08+10*1.06)*2/1000</f>
        <v>9.0320000000000011E-2</v>
      </c>
      <c r="E261" s="60" t="s">
        <v>246</v>
      </c>
      <c r="F261" s="59"/>
      <c r="G261" s="14" t="s">
        <v>66</v>
      </c>
      <c r="H261" s="83"/>
      <c r="J261" s="83"/>
    </row>
    <row r="262" spans="1:10" ht="27.75" x14ac:dyDescent="0.2">
      <c r="A262" s="62"/>
      <c r="B262" s="18" t="s">
        <v>117</v>
      </c>
      <c r="C262" s="50" t="s">
        <v>63</v>
      </c>
      <c r="D262" s="76">
        <f>(27*0.62+40*0.15)*2/1000</f>
        <v>4.548E-2</v>
      </c>
      <c r="E262" s="60" t="s">
        <v>263</v>
      </c>
      <c r="F262" s="59"/>
      <c r="G262" s="14" t="s">
        <v>39</v>
      </c>
      <c r="H262" s="83"/>
      <c r="J262" s="83"/>
    </row>
    <row r="263" spans="1:10" x14ac:dyDescent="0.2">
      <c r="A263" s="111" t="s">
        <v>103</v>
      </c>
      <c r="B263" s="113"/>
      <c r="C263" s="50"/>
      <c r="D263" s="63"/>
      <c r="E263" s="60"/>
      <c r="F263" s="59"/>
      <c r="G263" s="14"/>
      <c r="H263" s="83"/>
      <c r="J263" s="83"/>
    </row>
    <row r="264" spans="1:10" x14ac:dyDescent="0.2">
      <c r="A264" s="61">
        <f>A257+1</f>
        <v>49</v>
      </c>
      <c r="B264" s="14" t="s">
        <v>55</v>
      </c>
      <c r="C264" s="20" t="s">
        <v>62</v>
      </c>
      <c r="D264" s="12">
        <f>0.22*3</f>
        <v>0.66</v>
      </c>
      <c r="E264" s="12" t="s">
        <v>264</v>
      </c>
      <c r="F264" s="13" t="s">
        <v>258</v>
      </c>
      <c r="G264" s="14"/>
      <c r="H264" s="83"/>
      <c r="J264" s="83"/>
    </row>
    <row r="265" spans="1:10" x14ac:dyDescent="0.2">
      <c r="A265" s="61"/>
      <c r="B265" s="18" t="s">
        <v>57</v>
      </c>
      <c r="C265" s="50" t="s">
        <v>62</v>
      </c>
      <c r="D265" s="55">
        <f>0.22*3*1.02</f>
        <v>0.67320000000000002</v>
      </c>
      <c r="E265" s="55" t="s">
        <v>402</v>
      </c>
      <c r="F265" s="13"/>
      <c r="G265" s="14" t="s">
        <v>38</v>
      </c>
      <c r="H265" s="83"/>
      <c r="J265" s="83"/>
    </row>
    <row r="266" spans="1:10" x14ac:dyDescent="0.2">
      <c r="A266" s="61">
        <f>A264+1</f>
        <v>50</v>
      </c>
      <c r="B266" s="14" t="s">
        <v>89</v>
      </c>
      <c r="C266" s="20" t="s">
        <v>62</v>
      </c>
      <c r="D266" s="78">
        <f>0.67*3</f>
        <v>2.0100000000000002</v>
      </c>
      <c r="E266" s="78" t="s">
        <v>265</v>
      </c>
      <c r="F266" s="59"/>
      <c r="G266" s="14"/>
      <c r="H266" s="83"/>
      <c r="J266" s="83"/>
    </row>
    <row r="267" spans="1:10" x14ac:dyDescent="0.2">
      <c r="A267" s="62"/>
      <c r="B267" s="18" t="s">
        <v>58</v>
      </c>
      <c r="C267" s="50" t="s">
        <v>62</v>
      </c>
      <c r="D267" s="76">
        <f>0.67*3*1.015</f>
        <v>2.0401500000000001</v>
      </c>
      <c r="E267" s="60" t="s">
        <v>422</v>
      </c>
      <c r="F267" s="59"/>
      <c r="G267" s="14" t="s">
        <v>38</v>
      </c>
      <c r="H267" s="83"/>
      <c r="J267" s="83"/>
    </row>
    <row r="268" spans="1:10" ht="27.75" x14ac:dyDescent="0.2">
      <c r="A268" s="62"/>
      <c r="B268" s="18" t="s">
        <v>119</v>
      </c>
      <c r="C268" s="50" t="s">
        <v>63</v>
      </c>
      <c r="D268" s="76">
        <f>4*8.54*3/1000</f>
        <v>0.10247999999999999</v>
      </c>
      <c r="E268" s="60" t="s">
        <v>266</v>
      </c>
      <c r="F268" s="59"/>
      <c r="G268" s="14" t="s">
        <v>66</v>
      </c>
      <c r="H268" s="83"/>
      <c r="J268" s="83"/>
    </row>
    <row r="269" spans="1:10" x14ac:dyDescent="0.2">
      <c r="A269" s="62"/>
      <c r="B269" s="18" t="s">
        <v>60</v>
      </c>
      <c r="C269" s="50" t="s">
        <v>63</v>
      </c>
      <c r="D269" s="76">
        <f>4*4.27*3/1000</f>
        <v>5.1239999999999994E-2</v>
      </c>
      <c r="E269" s="60" t="s">
        <v>267</v>
      </c>
      <c r="F269" s="59"/>
      <c r="G269" s="14" t="s">
        <v>66</v>
      </c>
      <c r="H269" s="83"/>
      <c r="J269" s="83"/>
    </row>
    <row r="270" spans="1:10" ht="27.75" x14ac:dyDescent="0.2">
      <c r="A270" s="62"/>
      <c r="B270" s="18" t="s">
        <v>117</v>
      </c>
      <c r="C270" s="50" t="s">
        <v>63</v>
      </c>
      <c r="D270" s="76">
        <f>(30*0.56+22*0.15)*3/1000</f>
        <v>6.0300000000000006E-2</v>
      </c>
      <c r="E270" s="60" t="s">
        <v>268</v>
      </c>
      <c r="F270" s="59"/>
      <c r="G270" s="14" t="s">
        <v>39</v>
      </c>
      <c r="H270" s="83"/>
      <c r="J270" s="83"/>
    </row>
    <row r="271" spans="1:10" x14ac:dyDescent="0.2">
      <c r="A271" s="111" t="s">
        <v>104</v>
      </c>
      <c r="B271" s="113"/>
      <c r="C271" s="50"/>
      <c r="D271" s="63"/>
      <c r="E271" s="60"/>
      <c r="F271" s="59"/>
      <c r="G271" s="14"/>
      <c r="H271" s="83"/>
      <c r="J271" s="83"/>
    </row>
    <row r="272" spans="1:10" x14ac:dyDescent="0.2">
      <c r="A272" s="61">
        <f>A266+1</f>
        <v>51</v>
      </c>
      <c r="B272" s="14" t="s">
        <v>55</v>
      </c>
      <c r="C272" s="20" t="s">
        <v>62</v>
      </c>
      <c r="D272" s="12">
        <f>0.24</f>
        <v>0.24</v>
      </c>
      <c r="E272" s="12">
        <v>0.24</v>
      </c>
      <c r="F272" s="13" t="s">
        <v>258</v>
      </c>
      <c r="G272" s="14"/>
      <c r="H272" s="83"/>
      <c r="J272" s="83"/>
    </row>
    <row r="273" spans="1:10" x14ac:dyDescent="0.2">
      <c r="A273" s="61"/>
      <c r="B273" s="18" t="s">
        <v>57</v>
      </c>
      <c r="C273" s="50" t="s">
        <v>62</v>
      </c>
      <c r="D273" s="55">
        <f>0.24*1.02</f>
        <v>0.24479999999999999</v>
      </c>
      <c r="E273" s="55" t="s">
        <v>403</v>
      </c>
      <c r="F273" s="13"/>
      <c r="G273" s="14" t="s">
        <v>38</v>
      </c>
      <c r="H273" s="83"/>
      <c r="J273" s="83"/>
    </row>
    <row r="274" spans="1:10" x14ac:dyDescent="0.2">
      <c r="A274" s="61">
        <f>A272+1</f>
        <v>52</v>
      </c>
      <c r="B274" s="14" t="s">
        <v>89</v>
      </c>
      <c r="C274" s="20" t="s">
        <v>62</v>
      </c>
      <c r="D274" s="77">
        <f>2.67</f>
        <v>2.67</v>
      </c>
      <c r="E274" s="77">
        <v>2.67</v>
      </c>
      <c r="F274" s="59"/>
      <c r="G274" s="14"/>
      <c r="H274" s="83"/>
      <c r="J274" s="83"/>
    </row>
    <row r="275" spans="1:10" x14ac:dyDescent="0.2">
      <c r="A275" s="62"/>
      <c r="B275" s="18" t="s">
        <v>58</v>
      </c>
      <c r="C275" s="50" t="s">
        <v>62</v>
      </c>
      <c r="D275" s="60">
        <f>2.67*1.015</f>
        <v>2.7100499999999998</v>
      </c>
      <c r="E275" s="60" t="s">
        <v>423</v>
      </c>
      <c r="F275" s="59"/>
      <c r="G275" s="14" t="s">
        <v>38</v>
      </c>
      <c r="H275" s="83"/>
      <c r="J275" s="83"/>
    </row>
    <row r="276" spans="1:10" ht="27.75" x14ac:dyDescent="0.2">
      <c r="A276" s="62"/>
      <c r="B276" s="18" t="s">
        <v>119</v>
      </c>
      <c r="C276" s="50" t="s">
        <v>63</v>
      </c>
      <c r="D276" s="76">
        <f>5*9.17/1000</f>
        <v>4.5850000000000002E-2</v>
      </c>
      <c r="E276" s="60" t="s">
        <v>269</v>
      </c>
      <c r="F276" s="59"/>
      <c r="G276" s="14" t="s">
        <v>66</v>
      </c>
      <c r="H276" s="83"/>
      <c r="J276" s="83"/>
    </row>
    <row r="277" spans="1:10" ht="27.75" x14ac:dyDescent="0.2">
      <c r="A277" s="62"/>
      <c r="B277" s="18" t="s">
        <v>60</v>
      </c>
      <c r="C277" s="50" t="s">
        <v>63</v>
      </c>
      <c r="D277" s="76">
        <f>(4*4.63+10*1.02+54*1.47+10*4.99)/1000</f>
        <v>0.158</v>
      </c>
      <c r="E277" s="60" t="s">
        <v>270</v>
      </c>
      <c r="F277" s="59"/>
      <c r="G277" s="14" t="s">
        <v>66</v>
      </c>
      <c r="H277" s="83"/>
      <c r="J277" s="83"/>
    </row>
    <row r="278" spans="1:10" ht="27.75" x14ac:dyDescent="0.2">
      <c r="A278" s="62"/>
      <c r="B278" s="18" t="s">
        <v>123</v>
      </c>
      <c r="C278" s="50" t="s">
        <v>63</v>
      </c>
      <c r="D278" s="76">
        <f>(32*1.08+10*1.06)/1000</f>
        <v>4.5160000000000006E-2</v>
      </c>
      <c r="E278" s="60" t="s">
        <v>271</v>
      </c>
      <c r="F278" s="59"/>
      <c r="G278" s="14" t="s">
        <v>66</v>
      </c>
      <c r="H278" s="83"/>
      <c r="J278" s="83"/>
    </row>
    <row r="279" spans="1:10" ht="27.75" x14ac:dyDescent="0.2">
      <c r="A279" s="62"/>
      <c r="B279" s="18" t="s">
        <v>117</v>
      </c>
      <c r="C279" s="50" t="s">
        <v>63</v>
      </c>
      <c r="D279" s="76">
        <f>(33*0.54+46*0.15)/1000</f>
        <v>2.4719999999999999E-2</v>
      </c>
      <c r="E279" s="60" t="s">
        <v>272</v>
      </c>
      <c r="F279" s="59"/>
      <c r="G279" s="14" t="s">
        <v>39</v>
      </c>
      <c r="H279" s="83"/>
      <c r="J279" s="83"/>
    </row>
    <row r="280" spans="1:10" x14ac:dyDescent="0.2">
      <c r="A280" s="111" t="s">
        <v>105</v>
      </c>
      <c r="B280" s="113"/>
      <c r="C280" s="50"/>
      <c r="D280" s="63"/>
      <c r="E280" s="60"/>
      <c r="F280" s="59"/>
      <c r="G280" s="14"/>
      <c r="H280" s="83"/>
      <c r="J280" s="83"/>
    </row>
    <row r="281" spans="1:10" x14ac:dyDescent="0.2">
      <c r="A281" s="61">
        <f>A274+1</f>
        <v>53</v>
      </c>
      <c r="B281" s="14" t="s">
        <v>55</v>
      </c>
      <c r="C281" s="20" t="s">
        <v>62</v>
      </c>
      <c r="D281" s="12">
        <f>0.26</f>
        <v>0.26</v>
      </c>
      <c r="E281" s="12">
        <v>0.26</v>
      </c>
      <c r="F281" s="13" t="s">
        <v>329</v>
      </c>
      <c r="G281" s="14"/>
      <c r="H281" s="83"/>
      <c r="J281" s="83"/>
    </row>
    <row r="282" spans="1:10" x14ac:dyDescent="0.2">
      <c r="A282" s="61"/>
      <c r="B282" s="18" t="s">
        <v>57</v>
      </c>
      <c r="C282" s="50" t="s">
        <v>62</v>
      </c>
      <c r="D282" s="55">
        <f>0.26*1.02</f>
        <v>0.26519999999999999</v>
      </c>
      <c r="E282" s="55" t="s">
        <v>404</v>
      </c>
      <c r="F282" s="13"/>
      <c r="G282" s="14" t="s">
        <v>38</v>
      </c>
      <c r="H282" s="83"/>
      <c r="J282" s="83"/>
    </row>
    <row r="283" spans="1:10" x14ac:dyDescent="0.2">
      <c r="A283" s="61">
        <f>A281+1</f>
        <v>54</v>
      </c>
      <c r="B283" s="14" t="s">
        <v>89</v>
      </c>
      <c r="C283" s="20" t="s">
        <v>62</v>
      </c>
      <c r="D283" s="77">
        <f>3.85</f>
        <v>3.85</v>
      </c>
      <c r="E283" s="77">
        <v>3.85</v>
      </c>
      <c r="F283" s="59"/>
      <c r="G283" s="14"/>
      <c r="H283" s="83"/>
      <c r="J283" s="83"/>
    </row>
    <row r="284" spans="1:10" x14ac:dyDescent="0.2">
      <c r="A284" s="62"/>
      <c r="B284" s="18" t="s">
        <v>58</v>
      </c>
      <c r="C284" s="50" t="s">
        <v>62</v>
      </c>
      <c r="D284" s="60">
        <f>3.85*1.015</f>
        <v>3.9077499999999996</v>
      </c>
      <c r="E284" s="60" t="s">
        <v>424</v>
      </c>
      <c r="F284" s="59"/>
      <c r="G284" s="14" t="s">
        <v>38</v>
      </c>
      <c r="H284" s="83"/>
      <c r="J284" s="83"/>
    </row>
    <row r="285" spans="1:10" ht="27.75" x14ac:dyDescent="0.2">
      <c r="A285" s="62"/>
      <c r="B285" s="18" t="s">
        <v>119</v>
      </c>
      <c r="C285" s="50" t="s">
        <v>63</v>
      </c>
      <c r="D285" s="76">
        <f>(5*7.59+5*1.91+5*3.09)/1000</f>
        <v>6.2950000000000006E-2</v>
      </c>
      <c r="E285" s="60" t="s">
        <v>331</v>
      </c>
      <c r="F285" s="59"/>
      <c r="G285" s="14" t="s">
        <v>66</v>
      </c>
      <c r="H285" s="83"/>
      <c r="J285" s="83"/>
    </row>
    <row r="286" spans="1:10" ht="27.75" x14ac:dyDescent="0.2">
      <c r="A286" s="62"/>
      <c r="B286" s="18" t="s">
        <v>60</v>
      </c>
      <c r="C286" s="50" t="s">
        <v>63</v>
      </c>
      <c r="D286" s="76">
        <f>(4*3.74+56*1.47+46*1.02+10*4.71+4*0.54+20*1.38+4*1.21)/1000</f>
        <v>0.22589999999999999</v>
      </c>
      <c r="E286" s="60" t="s">
        <v>277</v>
      </c>
      <c r="F286" s="59"/>
      <c r="G286" s="14" t="s">
        <v>66</v>
      </c>
      <c r="H286" s="83"/>
      <c r="J286" s="83"/>
    </row>
    <row r="287" spans="1:10" ht="27.75" x14ac:dyDescent="0.2">
      <c r="A287" s="62"/>
      <c r="B287" s="18" t="s">
        <v>123</v>
      </c>
      <c r="C287" s="50" t="s">
        <v>63</v>
      </c>
      <c r="D287" s="76">
        <f>(40*1.08+30*1.06)/1000</f>
        <v>7.4999999999999997E-2</v>
      </c>
      <c r="E287" s="60" t="s">
        <v>330</v>
      </c>
      <c r="F287" s="90" t="s">
        <v>320</v>
      </c>
      <c r="G287" s="14" t="s">
        <v>66</v>
      </c>
      <c r="H287" s="95" t="s">
        <v>328</v>
      </c>
      <c r="J287" s="83"/>
    </row>
    <row r="288" spans="1:10" ht="27.75" x14ac:dyDescent="0.2">
      <c r="A288" s="62"/>
      <c r="B288" s="18" t="s">
        <v>117</v>
      </c>
      <c r="C288" s="50" t="s">
        <v>63</v>
      </c>
      <c r="D288" s="76">
        <f>(28*0.54+66*0.15)/1000</f>
        <v>2.5020000000000004E-2</v>
      </c>
      <c r="E288" s="60" t="s">
        <v>278</v>
      </c>
      <c r="F288" s="59"/>
      <c r="G288" s="14" t="s">
        <v>39</v>
      </c>
      <c r="H288" s="83"/>
      <c r="J288" s="83"/>
    </row>
    <row r="289" spans="1:10" x14ac:dyDescent="0.2">
      <c r="A289" s="111" t="s">
        <v>106</v>
      </c>
      <c r="B289" s="113"/>
      <c r="C289" s="50"/>
      <c r="D289" s="63"/>
      <c r="E289" s="60"/>
      <c r="F289" s="59"/>
      <c r="G289" s="14"/>
      <c r="H289" s="83"/>
      <c r="J289" s="83"/>
    </row>
    <row r="290" spans="1:10" x14ac:dyDescent="0.2">
      <c r="A290" s="61">
        <f>A283+1</f>
        <v>55</v>
      </c>
      <c r="B290" s="14" t="s">
        <v>55</v>
      </c>
      <c r="C290" s="20" t="s">
        <v>62</v>
      </c>
      <c r="D290" s="12">
        <f>0.16*2</f>
        <v>0.32</v>
      </c>
      <c r="E290" s="12" t="s">
        <v>273</v>
      </c>
      <c r="F290" s="13" t="s">
        <v>329</v>
      </c>
      <c r="G290" s="14"/>
      <c r="H290" s="83"/>
      <c r="J290" s="83"/>
    </row>
    <row r="291" spans="1:10" x14ac:dyDescent="0.2">
      <c r="A291" s="61"/>
      <c r="B291" s="18" t="s">
        <v>57</v>
      </c>
      <c r="C291" s="50" t="s">
        <v>62</v>
      </c>
      <c r="D291" s="55">
        <f>0.16*2*1.02</f>
        <v>0.32640000000000002</v>
      </c>
      <c r="E291" s="55" t="s">
        <v>405</v>
      </c>
      <c r="F291" s="13"/>
      <c r="G291" s="14" t="s">
        <v>38</v>
      </c>
      <c r="H291" s="83"/>
      <c r="J291" s="83"/>
    </row>
    <row r="292" spans="1:10" x14ac:dyDescent="0.2">
      <c r="A292" s="61">
        <f>A290+1</f>
        <v>56</v>
      </c>
      <c r="B292" s="14" t="s">
        <v>89</v>
      </c>
      <c r="C292" s="20" t="s">
        <v>62</v>
      </c>
      <c r="D292" s="77">
        <f>1.97*2</f>
        <v>3.94</v>
      </c>
      <c r="E292" s="77" t="s">
        <v>274</v>
      </c>
      <c r="F292" s="59"/>
      <c r="G292" s="14"/>
      <c r="H292" s="83"/>
      <c r="J292" s="83"/>
    </row>
    <row r="293" spans="1:10" x14ac:dyDescent="0.2">
      <c r="A293" s="62"/>
      <c r="B293" s="18" t="s">
        <v>58</v>
      </c>
      <c r="C293" s="50" t="s">
        <v>62</v>
      </c>
      <c r="D293" s="60">
        <f>1.97*2*1.015</f>
        <v>3.9990999999999994</v>
      </c>
      <c r="E293" s="60" t="s">
        <v>425</v>
      </c>
      <c r="F293" s="59"/>
      <c r="G293" s="14" t="s">
        <v>38</v>
      </c>
      <c r="H293" s="83"/>
      <c r="J293" s="83"/>
    </row>
    <row r="294" spans="1:10" ht="27.75" x14ac:dyDescent="0.2">
      <c r="A294" s="62"/>
      <c r="B294" s="18" t="s">
        <v>119</v>
      </c>
      <c r="C294" s="50" t="s">
        <v>63</v>
      </c>
      <c r="D294" s="76">
        <f>(3*2.57+2*3.52+3*3.6+2*4.55)*2/1000</f>
        <v>6.93E-2</v>
      </c>
      <c r="E294" s="60" t="s">
        <v>279</v>
      </c>
      <c r="F294" s="59"/>
      <c r="G294" s="14" t="s">
        <v>66</v>
      </c>
      <c r="H294" s="83"/>
      <c r="J294" s="83"/>
    </row>
    <row r="295" spans="1:10" ht="27.75" x14ac:dyDescent="0.2">
      <c r="A295" s="62"/>
      <c r="B295" s="18" t="s">
        <v>60</v>
      </c>
      <c r="C295" s="50" t="s">
        <v>63</v>
      </c>
      <c r="D295" s="76">
        <f>(4*1.18+26*1.47+18*1.02+20*1.82+4*1.76)*2/1000</f>
        <v>0.20948</v>
      </c>
      <c r="E295" s="60" t="s">
        <v>280</v>
      </c>
      <c r="F295" s="59"/>
      <c r="G295" s="14" t="s">
        <v>66</v>
      </c>
      <c r="H295" s="83"/>
      <c r="J295" s="83"/>
    </row>
    <row r="296" spans="1:10" ht="27.75" x14ac:dyDescent="0.2">
      <c r="A296" s="62"/>
      <c r="B296" s="18" t="s">
        <v>123</v>
      </c>
      <c r="C296" s="50" t="s">
        <v>63</v>
      </c>
      <c r="D296" s="76">
        <f>(22*1.08+4*2.45+4*2.45+20*1.06)*2/1000</f>
        <v>0.12912000000000001</v>
      </c>
      <c r="E296" s="60" t="s">
        <v>275</v>
      </c>
      <c r="F296" s="59"/>
      <c r="G296" s="14" t="s">
        <v>66</v>
      </c>
      <c r="H296" s="83"/>
      <c r="J296" s="83"/>
    </row>
    <row r="297" spans="1:10" ht="27.75" x14ac:dyDescent="0.2">
      <c r="A297" s="62"/>
      <c r="B297" s="18" t="s">
        <v>117</v>
      </c>
      <c r="C297" s="50" t="s">
        <v>63</v>
      </c>
      <c r="D297" s="76">
        <f>(17*0.54+33*0.15)*2/1000</f>
        <v>2.8259999999999997E-2</v>
      </c>
      <c r="E297" s="60" t="s">
        <v>276</v>
      </c>
      <c r="F297" s="59"/>
      <c r="G297" s="14" t="s">
        <v>39</v>
      </c>
      <c r="H297" s="83"/>
      <c r="J297" s="83"/>
    </row>
    <row r="298" spans="1:10" x14ac:dyDescent="0.2">
      <c r="A298" s="117" t="s">
        <v>362</v>
      </c>
      <c r="B298" s="118"/>
      <c r="C298" s="118"/>
      <c r="D298" s="118"/>
      <c r="E298" s="118"/>
      <c r="F298" s="118"/>
      <c r="G298" s="118"/>
      <c r="H298" s="83"/>
      <c r="J298" s="83"/>
    </row>
    <row r="299" spans="1:10" ht="68.25" x14ac:dyDescent="0.2">
      <c r="A299" s="61">
        <f>A292+1</f>
        <v>57</v>
      </c>
      <c r="B299" s="14" t="s">
        <v>430</v>
      </c>
      <c r="C299" s="20" t="s">
        <v>107</v>
      </c>
      <c r="D299" s="12">
        <f>(13*4.04+9.33+7.99+10.37+23.09+23.93+6.7+6.7+11.88+16.3+14.13+14.46*4+11.9+6.76+20.08*2+4*18.85+4*16.86+2*4.88+2*15.98+2*19.35+2*17.54+3*5.79+17.82+4.12+2*4.25)</f>
        <v>605.75000000000011</v>
      </c>
      <c r="E299" s="12" t="s">
        <v>281</v>
      </c>
      <c r="F299" s="91" t="s">
        <v>321</v>
      </c>
      <c r="G299" s="14"/>
      <c r="H299" s="95" t="s">
        <v>328</v>
      </c>
      <c r="J299" s="83"/>
    </row>
    <row r="300" spans="1:10" x14ac:dyDescent="0.2">
      <c r="A300" s="61"/>
      <c r="B300" s="18" t="s">
        <v>431</v>
      </c>
      <c r="C300" s="50" t="s">
        <v>325</v>
      </c>
      <c r="D300" s="55">
        <f>605.75*0.2</f>
        <v>121.15</v>
      </c>
      <c r="E300" s="55" t="s">
        <v>380</v>
      </c>
      <c r="F300" s="91"/>
      <c r="G300" s="14" t="s">
        <v>433</v>
      </c>
      <c r="H300" s="83"/>
      <c r="I300" s="110" t="s">
        <v>374</v>
      </c>
      <c r="J300" s="83"/>
    </row>
    <row r="301" spans="1:10" ht="68.25" x14ac:dyDescent="0.2">
      <c r="A301" s="82">
        <f>A299+1</f>
        <v>58</v>
      </c>
      <c r="B301" s="14" t="s">
        <v>379</v>
      </c>
      <c r="C301" s="15" t="s">
        <v>107</v>
      </c>
      <c r="D301" s="77">
        <f>(13*4.04+9.33+7.99+10.37+23.09+23.93+6.7+6.7+11.88+16.3+14.13+14.46*4+11.9+6.76+20.08*2+4*18.85+4*16.86+2*4.88+2*15.98+2*19.35+2*17.54+3*5.79+17.82+4.12+2*4.25)</f>
        <v>605.75000000000011</v>
      </c>
      <c r="E301" s="77" t="s">
        <v>281</v>
      </c>
      <c r="F301" s="90" t="s">
        <v>322</v>
      </c>
      <c r="G301" s="14"/>
      <c r="H301" s="95" t="s">
        <v>328</v>
      </c>
      <c r="J301" s="83"/>
    </row>
    <row r="302" spans="1:10" ht="27.75" x14ac:dyDescent="0.2">
      <c r="A302" s="82"/>
      <c r="B302" s="18" t="s">
        <v>432</v>
      </c>
      <c r="C302" s="93" t="s">
        <v>325</v>
      </c>
      <c r="D302" s="60">
        <f>605.75*2</f>
        <v>1211.5</v>
      </c>
      <c r="E302" s="60" t="s">
        <v>332</v>
      </c>
      <c r="F302" s="90"/>
      <c r="G302" s="14" t="s">
        <v>433</v>
      </c>
      <c r="H302" s="83"/>
      <c r="I302" s="110" t="s">
        <v>375</v>
      </c>
      <c r="J302" s="83"/>
    </row>
    <row r="303" spans="1:10" ht="27.75" x14ac:dyDescent="0.2">
      <c r="A303" s="96"/>
      <c r="B303" s="96"/>
      <c r="C303" s="96"/>
      <c r="D303" s="96"/>
      <c r="E303" s="96"/>
      <c r="F303" s="97" t="s">
        <v>323</v>
      </c>
      <c r="G303" s="96"/>
      <c r="H303" s="83"/>
      <c r="J303" s="83"/>
    </row>
    <row r="304" spans="1:10" ht="27.75" x14ac:dyDescent="0.2">
      <c r="A304" s="3" t="s">
        <v>6</v>
      </c>
      <c r="B304" s="4" t="s">
        <v>7</v>
      </c>
      <c r="C304" s="5"/>
      <c r="D304" s="6"/>
      <c r="E304" s="9" t="s">
        <v>8</v>
      </c>
      <c r="H304" s="83"/>
      <c r="J304" s="83"/>
    </row>
    <row r="305" spans="1:5" x14ac:dyDescent="0.2">
      <c r="A305" s="7"/>
      <c r="C305" s="7"/>
      <c r="D305" s="8" t="s">
        <v>9</v>
      </c>
      <c r="E305" s="8" t="s">
        <v>10</v>
      </c>
    </row>
    <row r="306" spans="1:5" x14ac:dyDescent="0.2">
      <c r="A306" s="7"/>
      <c r="C306" s="7"/>
      <c r="D306" s="7"/>
      <c r="E306" s="16"/>
    </row>
    <row r="307" spans="1:5" ht="30.75" customHeight="1" x14ac:dyDescent="0.2">
      <c r="A307" s="3" t="s">
        <v>11</v>
      </c>
      <c r="B307" s="4" t="s">
        <v>12</v>
      </c>
      <c r="C307" s="5"/>
      <c r="D307" s="9"/>
      <c r="E307" s="17" t="s">
        <v>13</v>
      </c>
    </row>
    <row r="308" spans="1:5" x14ac:dyDescent="0.2">
      <c r="C308" s="7"/>
      <c r="D308" s="10" t="s">
        <v>9</v>
      </c>
      <c r="E308" s="8" t="s">
        <v>10</v>
      </c>
    </row>
    <row r="309" spans="1:5" x14ac:dyDescent="0.2">
      <c r="E309" s="16"/>
    </row>
    <row r="313" spans="1:5" x14ac:dyDescent="0.2">
      <c r="B313" t="s">
        <v>40</v>
      </c>
    </row>
  </sheetData>
  <autoFilter ref="A23:G305" xr:uid="{00000000-0009-0000-0000-000000000000}"/>
  <mergeCells count="42">
    <mergeCell ref="A280:B280"/>
    <mergeCell ref="A289:B289"/>
    <mergeCell ref="A235:B235"/>
    <mergeCell ref="A245:B245"/>
    <mergeCell ref="A254:B254"/>
    <mergeCell ref="A263:B263"/>
    <mergeCell ref="A271:B271"/>
    <mergeCell ref="A184:B184"/>
    <mergeCell ref="A197:B197"/>
    <mergeCell ref="A207:B207"/>
    <mergeCell ref="A217:B217"/>
    <mergeCell ref="A227:B227"/>
    <mergeCell ref="F2:G2"/>
    <mergeCell ref="E5:G5"/>
    <mergeCell ref="E6:G6"/>
    <mergeCell ref="B15:G15"/>
    <mergeCell ref="A17:B17"/>
    <mergeCell ref="D17:G17"/>
    <mergeCell ref="E7:G7"/>
    <mergeCell ref="C13:E13"/>
    <mergeCell ref="B14:G14"/>
    <mergeCell ref="A298:G298"/>
    <mergeCell ref="A25:G25"/>
    <mergeCell ref="A30:B30"/>
    <mergeCell ref="A39:B39"/>
    <mergeCell ref="A51:B51"/>
    <mergeCell ref="A142:B142"/>
    <mergeCell ref="A60:B60"/>
    <mergeCell ref="A69:B69"/>
    <mergeCell ref="A88:B88"/>
    <mergeCell ref="A107:B107"/>
    <mergeCell ref="A50:G50"/>
    <mergeCell ref="A132:G132"/>
    <mergeCell ref="A133:B133"/>
    <mergeCell ref="A151:B151"/>
    <mergeCell ref="A161:B161"/>
    <mergeCell ref="A171:B171"/>
    <mergeCell ref="A126:G126"/>
    <mergeCell ref="A18:B18"/>
    <mergeCell ref="D18:G18"/>
    <mergeCell ref="D20:G20"/>
    <mergeCell ref="A22:G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"/>
  <sheetViews>
    <sheetView topLeftCell="A25" zoomScale="70" zoomScaleNormal="70" workbookViewId="0">
      <selection activeCell="G42" sqref="G42"/>
    </sheetView>
  </sheetViews>
  <sheetFormatPr defaultRowHeight="15" x14ac:dyDescent="0.2"/>
  <cols>
    <col min="1" max="1" width="5.24609375" customWidth="1"/>
    <col min="2" max="2" width="28.65234375" customWidth="1"/>
    <col min="3" max="3" width="36.453125" customWidth="1"/>
    <col min="4" max="4" width="29.45703125" customWidth="1"/>
    <col min="5" max="5" width="25.69140625" customWidth="1"/>
    <col min="6" max="6" width="7.6640625" customWidth="1"/>
    <col min="7" max="7" width="11.56640625" customWidth="1"/>
    <col min="8" max="8" width="16.6796875" customWidth="1"/>
    <col min="9" max="13" width="20.71484375" customWidth="1"/>
    <col min="14" max="14" width="43.71875" customWidth="1"/>
  </cols>
  <sheetData>
    <row r="1" spans="1:14" ht="18.75" x14ac:dyDescent="0.25">
      <c r="A1" s="33"/>
      <c r="B1" s="33"/>
      <c r="C1" s="33"/>
      <c r="D1" s="34"/>
      <c r="E1" s="33"/>
      <c r="F1" s="33"/>
      <c r="G1" s="33"/>
      <c r="H1" s="33"/>
      <c r="I1" s="33"/>
      <c r="J1" s="33"/>
      <c r="K1" s="128" t="s">
        <v>315</v>
      </c>
      <c r="L1" s="128"/>
      <c r="M1" s="128"/>
      <c r="N1" s="128"/>
    </row>
    <row r="2" spans="1:14" ht="18.75" x14ac:dyDescent="0.25">
      <c r="A2" s="129" t="s">
        <v>25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</row>
    <row r="3" spans="1:14" ht="18.75" x14ac:dyDescent="0.25">
      <c r="A3" s="130" t="s">
        <v>318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</row>
    <row r="4" spans="1:14" x14ac:dyDescent="0.2">
      <c r="C4" s="137" t="s">
        <v>317</v>
      </c>
      <c r="D4" s="137"/>
      <c r="E4" s="137"/>
      <c r="F4" s="137"/>
      <c r="G4" s="137"/>
      <c r="H4" s="137"/>
      <c r="I4" s="137"/>
      <c r="J4" s="137"/>
      <c r="K4" s="137"/>
      <c r="L4" s="137"/>
      <c r="M4" s="137"/>
    </row>
    <row r="5" spans="1:14" ht="15.75" thickBot="1" x14ac:dyDescent="0.25">
      <c r="A5" s="1"/>
      <c r="B5" s="1"/>
      <c r="C5" s="1"/>
      <c r="D5" s="1"/>
      <c r="E5" s="1"/>
      <c r="F5" s="1"/>
      <c r="G5" s="2"/>
      <c r="H5" s="2"/>
      <c r="I5" s="1"/>
      <c r="J5" s="1"/>
      <c r="K5" s="1"/>
      <c r="L5" s="1"/>
      <c r="M5" s="1"/>
      <c r="N5" s="35"/>
    </row>
    <row r="6" spans="1:14" ht="69" thickBot="1" x14ac:dyDescent="0.25">
      <c r="A6" s="30" t="s">
        <v>0</v>
      </c>
      <c r="B6" s="30" t="s">
        <v>26</v>
      </c>
      <c r="C6" s="30" t="s">
        <v>27</v>
      </c>
      <c r="D6" s="30" t="s">
        <v>28</v>
      </c>
      <c r="E6" s="30" t="s">
        <v>29</v>
      </c>
      <c r="F6" s="36" t="s">
        <v>2</v>
      </c>
      <c r="G6" s="31" t="s">
        <v>23</v>
      </c>
      <c r="H6" s="30" t="s">
        <v>30</v>
      </c>
      <c r="I6" s="30" t="s">
        <v>31</v>
      </c>
      <c r="J6" s="37" t="s">
        <v>32</v>
      </c>
      <c r="K6" s="37" t="s">
        <v>33</v>
      </c>
      <c r="L6" s="37" t="s">
        <v>34</v>
      </c>
      <c r="M6" s="37" t="s">
        <v>35</v>
      </c>
      <c r="N6" s="38" t="s">
        <v>36</v>
      </c>
    </row>
    <row r="7" spans="1:14" ht="15.75" thickBot="1" x14ac:dyDescent="0.25">
      <c r="A7" s="30">
        <v>2</v>
      </c>
      <c r="B7" s="30">
        <v>2</v>
      </c>
      <c r="C7" s="30">
        <v>3</v>
      </c>
      <c r="D7" s="30">
        <v>4</v>
      </c>
      <c r="E7" s="30">
        <v>5</v>
      </c>
      <c r="F7" s="30">
        <v>6</v>
      </c>
      <c r="G7" s="30">
        <v>7</v>
      </c>
      <c r="H7" s="30">
        <v>8</v>
      </c>
      <c r="I7" s="30">
        <v>9</v>
      </c>
      <c r="J7" s="30">
        <v>10</v>
      </c>
      <c r="K7" s="30">
        <v>11</v>
      </c>
      <c r="L7" s="30">
        <v>12</v>
      </c>
      <c r="M7" s="30">
        <v>13</v>
      </c>
      <c r="N7" s="39">
        <v>14</v>
      </c>
    </row>
    <row r="8" spans="1:14" x14ac:dyDescent="0.2">
      <c r="A8" s="40">
        <v>1</v>
      </c>
      <c r="B8" s="109" t="s">
        <v>37</v>
      </c>
      <c r="C8" s="11" t="s">
        <v>369</v>
      </c>
      <c r="D8" s="11" t="s">
        <v>367</v>
      </c>
      <c r="E8" s="11"/>
      <c r="F8" s="64" t="s">
        <v>62</v>
      </c>
      <c r="G8" s="19">
        <f>'ВОР 150200 КЖ5'!D27</f>
        <v>46.822999999999993</v>
      </c>
      <c r="H8" s="106"/>
      <c r="I8" s="107"/>
      <c r="J8" s="107"/>
      <c r="K8" s="108"/>
      <c r="L8" s="108"/>
      <c r="M8" s="108"/>
      <c r="N8" s="105"/>
    </row>
    <row r="9" spans="1:14" x14ac:dyDescent="0.2">
      <c r="A9" s="41">
        <f>A8+1</f>
        <v>2</v>
      </c>
      <c r="B9" s="102" t="s">
        <v>37</v>
      </c>
      <c r="C9" s="11" t="s">
        <v>368</v>
      </c>
      <c r="D9" s="11" t="s">
        <v>367</v>
      </c>
      <c r="E9" s="11"/>
      <c r="F9" s="64" t="s">
        <v>62</v>
      </c>
      <c r="G9" s="19">
        <f>'ВОР 150200 КЖ5'!D28</f>
        <v>8.2627500000000005</v>
      </c>
      <c r="H9" s="23"/>
      <c r="I9" s="42"/>
      <c r="J9" s="42"/>
      <c r="K9" s="43"/>
      <c r="L9" s="43"/>
      <c r="M9" s="43"/>
      <c r="N9" s="44"/>
    </row>
    <row r="10" spans="1:14" x14ac:dyDescent="0.2">
      <c r="A10" s="41">
        <f>A9+1</f>
        <v>3</v>
      </c>
      <c r="B10" s="11" t="s">
        <v>37</v>
      </c>
      <c r="C10" s="11" t="s">
        <v>41</v>
      </c>
      <c r="D10" s="11" t="s">
        <v>38</v>
      </c>
      <c r="E10" s="11"/>
      <c r="F10" s="64" t="s">
        <v>62</v>
      </c>
      <c r="G10" s="19">
        <f>'ВОР 150200 КЖ5'!D32+'ВОР 150200 КЖ5'!D41+'ВОР 150200 КЖ5'!D53+'ВОР 150200 КЖ5'!D62+'ВОР 150200 КЖ5'!D71+'ВОР 150200 КЖ5'!D90+'ВОР 150200 КЖ5'!D109+'ВОР 150200 КЖ5'!D135+'ВОР 150200 КЖ5'!D144+'ВОР 150200 КЖ5'!D153+'ВОР 150200 КЖ5'!D163+'ВОР 150200 КЖ5'!D173+'ВОР 150200 КЖ5'!D186+'ВОР 150200 КЖ5'!D199+'ВОР 150200 КЖ5'!D209+'ВОР 150200 КЖ5'!D219+'ВОР 150200 КЖ5'!D229+'ВОР 150200 КЖ5'!D237+'ВОР 150200 КЖ5'!D247+'ВОР 150200 КЖ5'!D256+'ВОР 150200 КЖ5'!D265+'ВОР 150200 КЖ5'!D273+'ВОР 150200 КЖ5'!D282+'ВОР 150200 КЖ5'!D291</f>
        <v>15.3306</v>
      </c>
      <c r="H10" s="23"/>
      <c r="I10" s="42"/>
      <c r="J10" s="42"/>
      <c r="K10" s="43"/>
      <c r="L10" s="43"/>
      <c r="M10" s="42"/>
      <c r="N10" s="44"/>
    </row>
    <row r="11" spans="1:14" x14ac:dyDescent="0.2">
      <c r="A11" s="41">
        <f>A10+1</f>
        <v>4</v>
      </c>
      <c r="B11" s="11" t="s">
        <v>37</v>
      </c>
      <c r="C11" s="11" t="s">
        <v>42</v>
      </c>
      <c r="D11" s="11" t="s">
        <v>38</v>
      </c>
      <c r="E11" s="11"/>
      <c r="F11" s="64" t="s">
        <v>62</v>
      </c>
      <c r="G11" s="19">
        <f>'ВОР 150200 КЖ5'!D34+'ВОР 150200 КЖ5'!D43+'ВОР 150200 КЖ5'!D55+'ВОР 150200 КЖ5'!D64+'ВОР 150200 КЖ5'!D73+'ВОР 150200 КЖ5'!D92+'ВОР 150200 КЖ5'!D111+'ВОР 150200 КЖ5'!D137+'ВОР 150200 КЖ5'!D146+'ВОР 150200 КЖ5'!D155+'ВОР 150200 КЖ5'!D165+'ВОР 150200 КЖ5'!D175+'ВОР 150200 КЖ5'!D188+'ВОР 150200 КЖ5'!D201+'ВОР 150200 КЖ5'!D211+'ВОР 150200 КЖ5'!D221+'ВОР 150200 КЖ5'!D231+'ВОР 150200 КЖ5'!D239+'ВОР 150200 КЖ5'!D249+'ВОР 150200 КЖ5'!D258+'ВОР 150200 КЖ5'!D267+'ВОР 150200 КЖ5'!D275+'ВОР 150200 КЖ5'!D284+'ВОР 150200 КЖ5'!D293</f>
        <v>139.11694999999997</v>
      </c>
      <c r="H11" s="66"/>
      <c r="I11" s="67"/>
      <c r="J11" s="67"/>
      <c r="K11" s="68"/>
      <c r="L11" s="68"/>
      <c r="M11" s="68"/>
      <c r="N11" s="69"/>
    </row>
    <row r="12" spans="1:14" ht="15.75" x14ac:dyDescent="0.2">
      <c r="A12" s="41">
        <f>A11+1</f>
        <v>5</v>
      </c>
      <c r="B12" s="11" t="s">
        <v>37</v>
      </c>
      <c r="C12" s="11" t="s">
        <v>48</v>
      </c>
      <c r="D12" s="11" t="s">
        <v>43</v>
      </c>
      <c r="E12" s="11"/>
      <c r="F12" s="64" t="s">
        <v>63</v>
      </c>
      <c r="G12" s="19">
        <f>'ВОР 150200 КЖ5'!D176+'ВОР 150200 КЖ5'!D189</f>
        <v>9.5939999999999998E-2</v>
      </c>
      <c r="H12" s="23"/>
      <c r="I12" s="42"/>
      <c r="J12" s="42"/>
      <c r="K12" s="43"/>
      <c r="L12" s="43"/>
      <c r="M12" s="43"/>
      <c r="N12" s="44"/>
    </row>
    <row r="13" spans="1:14" ht="28.5" x14ac:dyDescent="0.2">
      <c r="A13" s="41">
        <f>A12+1</f>
        <v>6</v>
      </c>
      <c r="B13" s="11" t="s">
        <v>37</v>
      </c>
      <c r="C13" s="11" t="s">
        <v>282</v>
      </c>
      <c r="D13" s="11" t="s">
        <v>43</v>
      </c>
      <c r="E13" s="11"/>
      <c r="F13" s="64" t="s">
        <v>63</v>
      </c>
      <c r="G13" s="19">
        <f>'ВОР 150200 КЖ5'!D44+'ВОР 150200 КЖ5'!D138+'ВОР 150200 КЖ5'!D147+'ВОР 150200 КЖ5'!D156+'ВОР 150200 КЖ5'!D166+'ВОР 150200 КЖ5'!D202+'ВОР 150200 КЖ5'!D212+'ВОР 150200 КЖ5'!D222+'ВОР 150200 КЖ5'!D240+'ВОР 150200 КЖ5'!D250+'ВОР 150200 КЖ5'!D259</f>
        <v>1.1152299999999999</v>
      </c>
      <c r="H13" s="23"/>
      <c r="I13" s="42"/>
      <c r="J13" s="42"/>
      <c r="K13" s="43"/>
      <c r="L13" s="43"/>
      <c r="M13" s="43"/>
      <c r="N13" s="44"/>
    </row>
    <row r="14" spans="1:14" ht="15.75" x14ac:dyDescent="0.2">
      <c r="A14" s="41">
        <f t="shared" ref="A14:A20" si="0">A13+1</f>
        <v>7</v>
      </c>
      <c r="B14" s="11" t="s">
        <v>37</v>
      </c>
      <c r="C14" s="11" t="s">
        <v>47</v>
      </c>
      <c r="D14" s="11" t="s">
        <v>43</v>
      </c>
      <c r="E14" s="11"/>
      <c r="F14" s="64" t="s">
        <v>63</v>
      </c>
      <c r="G14" s="19">
        <f>'ВОР 150200 КЖ5'!D45+'ВОР 150200 КЖ5'!D203</f>
        <v>6.0499999999999998E-2</v>
      </c>
      <c r="H14" s="23"/>
      <c r="I14" s="42"/>
      <c r="J14" s="42"/>
      <c r="K14" s="43"/>
      <c r="L14" s="43"/>
      <c r="M14" s="43"/>
      <c r="N14" s="44"/>
    </row>
    <row r="15" spans="1:14" ht="28.5" x14ac:dyDescent="0.2">
      <c r="A15" s="41">
        <f t="shared" si="0"/>
        <v>8</v>
      </c>
      <c r="B15" s="11" t="s">
        <v>37</v>
      </c>
      <c r="C15" s="11" t="s">
        <v>283</v>
      </c>
      <c r="D15" s="11" t="s">
        <v>43</v>
      </c>
      <c r="E15" s="11"/>
      <c r="F15" s="64" t="s">
        <v>63</v>
      </c>
      <c r="G15" s="19">
        <f>'ВОР 150200 КЖ5'!D35+'ВОР 150200 КЖ5'!D46+'ВОР 150200 КЖ5'!D74+'ВОР 150200 КЖ5'!D93+'ВОР 150200 КЖ5'!D157+'ВОР 150200 КЖ5'!D167+'ВОР 150200 КЖ5'!D213+'ВОР 150200 КЖ5'!D223+'ВОР 150200 КЖ5'!D232+'ВОР 150200 КЖ5'!D241+'ВОР 150200 КЖ5'!D268+'ВОР 150200 КЖ5'!D276+'ВОР 150200 КЖ5'!D285+'ВОР 150200 КЖ5'!D294</f>
        <v>1.1011400000000002</v>
      </c>
      <c r="H15" s="23"/>
      <c r="I15" s="42"/>
      <c r="J15" s="42"/>
      <c r="K15" s="43"/>
      <c r="L15" s="43"/>
      <c r="M15" s="43"/>
      <c r="N15" s="44"/>
    </row>
    <row r="16" spans="1:14" ht="15.75" x14ac:dyDescent="0.2">
      <c r="A16" s="41">
        <f t="shared" si="0"/>
        <v>9</v>
      </c>
      <c r="B16" s="11" t="s">
        <v>37</v>
      </c>
      <c r="C16" s="11" t="s">
        <v>46</v>
      </c>
      <c r="D16" s="11" t="s">
        <v>43</v>
      </c>
      <c r="E16" s="11"/>
      <c r="F16" s="64" t="s">
        <v>63</v>
      </c>
      <c r="G16" s="19">
        <f>'ВОР 150200 КЖ5'!D75+'ВОР 150200 КЖ5'!D94</f>
        <v>0.44992999999999994</v>
      </c>
      <c r="H16" s="23"/>
      <c r="I16" s="42"/>
      <c r="J16" s="42"/>
      <c r="K16" s="43"/>
      <c r="L16" s="43"/>
      <c r="M16" s="43"/>
      <c r="N16" s="44"/>
    </row>
    <row r="17" spans="1:14" ht="28.5" x14ac:dyDescent="0.2">
      <c r="A17" s="41">
        <f t="shared" si="0"/>
        <v>10</v>
      </c>
      <c r="B17" s="11" t="s">
        <v>37</v>
      </c>
      <c r="C17" s="11" t="s">
        <v>284</v>
      </c>
      <c r="D17" s="11" t="s">
        <v>43</v>
      </c>
      <c r="E17" s="11"/>
      <c r="F17" s="64" t="s">
        <v>63</v>
      </c>
      <c r="G17" s="19">
        <f>'ВОР 150200 КЖ5'!D36+'ВОР 150200 КЖ5'!D76+'ВОР 150200 КЖ5'!D95</f>
        <v>1.10219</v>
      </c>
      <c r="H17" s="23"/>
      <c r="I17" s="42"/>
      <c r="J17" s="42"/>
      <c r="K17" s="43"/>
      <c r="L17" s="43"/>
      <c r="M17" s="43"/>
      <c r="N17" s="44"/>
    </row>
    <row r="18" spans="1:14" ht="15.75" x14ac:dyDescent="0.2">
      <c r="A18" s="41">
        <f t="shared" si="0"/>
        <v>11</v>
      </c>
      <c r="B18" s="11" t="s">
        <v>37</v>
      </c>
      <c r="C18" s="11" t="s">
        <v>52</v>
      </c>
      <c r="D18" s="11" t="s">
        <v>43</v>
      </c>
      <c r="E18" s="11"/>
      <c r="F18" s="64" t="s">
        <v>63</v>
      </c>
      <c r="G18" s="19">
        <f>'ВОР 150200 КЖ5'!D56+'ВОР 150200 КЖ5'!D65+'ВОР 150200 КЖ5'!D139+'ВОР 150200 КЖ5'!D148+'ВОР 150200 КЖ5'!D158+'ВОР 150200 КЖ5'!D168+'ВОР 150200 КЖ5'!D177+'ВОР 150200 КЖ5'!D178+'ВОР 150200 КЖ5'!D182+'ВОР 150200 КЖ5'!D190+'ВОР 150200 КЖ5'!D195+'ВОР 150200 КЖ5'!D204+'ВОР 150200 КЖ5'!D214+'ВОР 150200 КЖ5'!D224+'ВОР 150200 КЖ5'!D233+'ВОР 150200 КЖ5'!D242+'ВОР 150200 КЖ5'!D251+'ВОР 150200 КЖ5'!D260+'ВОР 150200 КЖ5'!D269+'ВОР 150200 КЖ5'!D277+'ВОР 150200 КЖ5'!D286+'ВОР 150200 КЖ5'!D295</f>
        <v>4.5235199999999995</v>
      </c>
      <c r="H18" s="23"/>
      <c r="I18" s="42"/>
      <c r="J18" s="42"/>
      <c r="K18" s="43"/>
      <c r="L18" s="43"/>
      <c r="M18" s="43"/>
      <c r="N18" s="44"/>
    </row>
    <row r="19" spans="1:14" ht="28.5" x14ac:dyDescent="0.2">
      <c r="A19" s="41">
        <f t="shared" si="0"/>
        <v>12</v>
      </c>
      <c r="B19" s="11" t="s">
        <v>37</v>
      </c>
      <c r="C19" s="11" t="s">
        <v>285</v>
      </c>
      <c r="D19" s="11" t="s">
        <v>43</v>
      </c>
      <c r="E19" s="11"/>
      <c r="F19" s="64" t="s">
        <v>63</v>
      </c>
      <c r="G19" s="19">
        <f>'ВОР 150200 КЖ5'!D47+'ВОР 150200 КЖ5'!D57+'ВОР 150200 КЖ5'!D66+'ВОР 150200 КЖ5'!D140+'ВОР 150200 КЖ5'!D149+'ВОР 150200 КЖ5'!D159+'ВОР 150200 КЖ5'!D169+'ВОР 150200 КЖ5'!D178+'ВОР 150200 КЖ5'!D191+'ВОР 150200 КЖ5'!D205+'ВОР 150200 КЖ5'!D215+'ВОР 150200 КЖ5'!D225+'ВОР 150200 КЖ5'!D243+'ВОР 150200 КЖ5'!D252+'ВОР 150200 КЖ5'!D261+'ВОР 150200 КЖ5'!D278+'ВОР 150200 КЖ5'!D287+'ВОР 150200 КЖ5'!D296</f>
        <v>1.5957600000000003</v>
      </c>
      <c r="H19" s="23"/>
      <c r="I19" s="42"/>
      <c r="J19" s="42"/>
      <c r="K19" s="43"/>
      <c r="L19" s="43"/>
      <c r="M19" s="43"/>
      <c r="N19" s="44"/>
    </row>
    <row r="20" spans="1:14" ht="15.75" x14ac:dyDescent="0.2">
      <c r="A20" s="41">
        <f t="shared" si="0"/>
        <v>13</v>
      </c>
      <c r="B20" s="11" t="s">
        <v>37</v>
      </c>
      <c r="C20" s="11" t="s">
        <v>45</v>
      </c>
      <c r="D20" s="11" t="s">
        <v>43</v>
      </c>
      <c r="E20" s="11"/>
      <c r="F20" s="64" t="s">
        <v>63</v>
      </c>
      <c r="G20" s="19">
        <f>'ВОР 150200 КЖ5'!D112</f>
        <v>0.13663999999999998</v>
      </c>
      <c r="H20" s="23"/>
      <c r="I20" s="42"/>
      <c r="J20" s="42"/>
      <c r="K20" s="43"/>
      <c r="L20" s="43"/>
      <c r="M20" s="43"/>
      <c r="N20" s="44"/>
    </row>
    <row r="21" spans="1:14" ht="28.5" x14ac:dyDescent="0.2">
      <c r="A21" s="41">
        <f t="shared" ref="A21:A36" si="1">A20+1</f>
        <v>14</v>
      </c>
      <c r="B21" s="11" t="s">
        <v>37</v>
      </c>
      <c r="C21" s="11" t="s">
        <v>286</v>
      </c>
      <c r="D21" s="11" t="s">
        <v>43</v>
      </c>
      <c r="E21" s="11"/>
      <c r="F21" s="64" t="s">
        <v>63</v>
      </c>
      <c r="G21" s="19">
        <f>'ВОР 150200 КЖ5'!D113</f>
        <v>0.16242000000000001</v>
      </c>
      <c r="H21" s="23"/>
      <c r="I21" s="42"/>
      <c r="J21" s="42"/>
      <c r="K21" s="43"/>
      <c r="L21" s="43"/>
      <c r="M21" s="43"/>
      <c r="N21" s="44"/>
    </row>
    <row r="22" spans="1:14" ht="28.5" x14ac:dyDescent="0.2">
      <c r="A22" s="41">
        <f t="shared" si="1"/>
        <v>15</v>
      </c>
      <c r="B22" s="11" t="s">
        <v>37</v>
      </c>
      <c r="C22" s="11" t="s">
        <v>287</v>
      </c>
      <c r="D22" s="11" t="s">
        <v>39</v>
      </c>
      <c r="E22" s="11"/>
      <c r="F22" s="64" t="s">
        <v>63</v>
      </c>
      <c r="G22" s="19">
        <f>'ВОР 150200 КЖ5'!D48</f>
        <v>7.2960000000000011E-2</v>
      </c>
      <c r="H22" s="23"/>
      <c r="I22" s="42"/>
      <c r="J22" s="42"/>
      <c r="K22" s="43"/>
      <c r="L22" s="43"/>
      <c r="M22" s="43"/>
      <c r="N22" s="44"/>
    </row>
    <row r="23" spans="1:14" ht="15.75" x14ac:dyDescent="0.2">
      <c r="A23" s="41">
        <f t="shared" si="1"/>
        <v>16</v>
      </c>
      <c r="B23" s="11" t="s">
        <v>37</v>
      </c>
      <c r="C23" s="11" t="s">
        <v>44</v>
      </c>
      <c r="D23" s="11" t="s">
        <v>39</v>
      </c>
      <c r="E23" s="11"/>
      <c r="F23" s="64" t="s">
        <v>63</v>
      </c>
      <c r="G23" s="19">
        <f>'ВОР 150200 КЖ5'!D37</f>
        <v>5.7719999999999994E-2</v>
      </c>
      <c r="H23" s="23"/>
      <c r="I23" s="42"/>
      <c r="J23" s="42"/>
      <c r="K23" s="43"/>
      <c r="L23" s="43"/>
      <c r="M23" s="43"/>
      <c r="N23" s="44"/>
    </row>
    <row r="24" spans="1:14" ht="28.5" x14ac:dyDescent="0.2">
      <c r="A24" s="41">
        <f t="shared" si="1"/>
        <v>17</v>
      </c>
      <c r="B24" s="11" t="s">
        <v>37</v>
      </c>
      <c r="C24" s="11" t="s">
        <v>288</v>
      </c>
      <c r="D24" s="11" t="s">
        <v>39</v>
      </c>
      <c r="E24" s="11"/>
      <c r="F24" s="64" t="s">
        <v>63</v>
      </c>
      <c r="G24" s="19">
        <f>'ВОР 150200 КЖ5'!D38+'ВОР 150200 КЖ5'!D49+'ВОР 150200 КЖ5'!D77+'ВОР 150200 КЖ5'!D96+'ВОР 150200 КЖ5'!D141+'ВОР 150200 КЖ5'!D150+'ВОР 150200 КЖ5'!D160+'ВОР 150200 КЖ5'!D170+'ВОР 150200 КЖ5'!D179+'ВОР 150200 КЖ5'!D192+'ВОР 150200 КЖ5'!D206+'ВОР 150200 КЖ5'!D216+'ВОР 150200 КЖ5'!D226+'ВОР 150200 КЖ5'!D234+'ВОР 150200 КЖ5'!D244+'ВОР 150200 КЖ5'!D253+'ВОР 150200 КЖ5'!D262+'ВОР 150200 КЖ5'!D270+'ВОР 150200 КЖ5'!D279+'ВОР 150200 КЖ5'!D288+'ВОР 150200 КЖ5'!D297</f>
        <v>0.78318999999999983</v>
      </c>
      <c r="H24" s="23"/>
      <c r="I24" s="42"/>
      <c r="J24" s="42"/>
      <c r="K24" s="43"/>
      <c r="L24" s="43"/>
      <c r="M24" s="43"/>
      <c r="N24" s="44"/>
    </row>
    <row r="25" spans="1:14" ht="27.75" x14ac:dyDescent="0.2">
      <c r="A25" s="41">
        <f t="shared" si="1"/>
        <v>18</v>
      </c>
      <c r="B25" s="11" t="s">
        <v>37</v>
      </c>
      <c r="C25" s="11" t="s">
        <v>290</v>
      </c>
      <c r="D25" s="11" t="s">
        <v>69</v>
      </c>
      <c r="E25" s="11"/>
      <c r="F25" s="64" t="s">
        <v>63</v>
      </c>
      <c r="G25" s="19">
        <f>'ВОР 150200 КЖ5'!D58</f>
        <v>7.0999999999999994E-2</v>
      </c>
      <c r="H25" s="23"/>
      <c r="I25" s="42"/>
      <c r="J25" s="42"/>
      <c r="K25" s="43"/>
      <c r="L25" s="43"/>
      <c r="M25" s="43"/>
      <c r="N25" s="44"/>
    </row>
    <row r="26" spans="1:14" ht="27.75" x14ac:dyDescent="0.2">
      <c r="A26" s="41">
        <f t="shared" si="1"/>
        <v>19</v>
      </c>
      <c r="B26" s="11" t="s">
        <v>37</v>
      </c>
      <c r="C26" s="11" t="s">
        <v>291</v>
      </c>
      <c r="D26" s="11" t="s">
        <v>289</v>
      </c>
      <c r="E26" s="11"/>
      <c r="F26" s="64" t="s">
        <v>63</v>
      </c>
      <c r="G26" s="19">
        <f>'ВОР 150200 КЖ5'!D68</f>
        <v>0.12548999999999999</v>
      </c>
      <c r="H26" s="23"/>
      <c r="I26" s="42"/>
      <c r="J26" s="42"/>
      <c r="K26" s="43"/>
      <c r="L26" s="43"/>
      <c r="M26" s="43"/>
      <c r="N26" s="44"/>
    </row>
    <row r="27" spans="1:14" ht="27.75" x14ac:dyDescent="0.2">
      <c r="A27" s="41">
        <f t="shared" si="1"/>
        <v>20</v>
      </c>
      <c r="B27" s="11" t="s">
        <v>37</v>
      </c>
      <c r="C27" s="11" t="s">
        <v>292</v>
      </c>
      <c r="D27" s="11" t="s">
        <v>69</v>
      </c>
      <c r="E27" s="11"/>
      <c r="F27" s="64" t="s">
        <v>63</v>
      </c>
      <c r="G27" s="19">
        <f>'ВОР 150200 КЖ5'!D78+'ВОР 150200 КЖ5'!D97</f>
        <v>0.29087999999999997</v>
      </c>
      <c r="H27" s="23"/>
      <c r="I27" s="42"/>
      <c r="J27" s="42"/>
      <c r="K27" s="43"/>
      <c r="L27" s="43"/>
      <c r="M27" s="43"/>
      <c r="N27" s="44"/>
    </row>
    <row r="28" spans="1:14" ht="27.75" x14ac:dyDescent="0.2">
      <c r="A28" s="41">
        <f t="shared" si="1"/>
        <v>21</v>
      </c>
      <c r="B28" s="11" t="s">
        <v>37</v>
      </c>
      <c r="C28" s="11" t="s">
        <v>334</v>
      </c>
      <c r="D28" s="11" t="s">
        <v>73</v>
      </c>
      <c r="E28" s="11"/>
      <c r="F28" s="64" t="s">
        <v>63</v>
      </c>
      <c r="G28" s="19">
        <f>'ВОР 150200 КЖ5'!D81</f>
        <v>0.3866</v>
      </c>
      <c r="H28" s="23"/>
      <c r="I28" s="42"/>
      <c r="J28" s="42"/>
      <c r="K28" s="43"/>
      <c r="L28" s="43"/>
      <c r="M28" s="43"/>
      <c r="N28" s="44"/>
    </row>
    <row r="29" spans="1:14" ht="27.75" x14ac:dyDescent="0.2">
      <c r="A29" s="41">
        <f t="shared" si="1"/>
        <v>22</v>
      </c>
      <c r="B29" s="11" t="s">
        <v>37</v>
      </c>
      <c r="C29" s="11" t="s">
        <v>335</v>
      </c>
      <c r="D29" s="11" t="s">
        <v>73</v>
      </c>
      <c r="E29" s="11"/>
      <c r="F29" s="64" t="s">
        <v>63</v>
      </c>
      <c r="G29" s="19">
        <f>'ВОР 150200 КЖ5'!D100</f>
        <v>0.34712999999999999</v>
      </c>
      <c r="H29" s="23"/>
      <c r="I29" s="42"/>
      <c r="J29" s="42"/>
      <c r="K29" s="43"/>
      <c r="L29" s="43"/>
      <c r="M29" s="43"/>
      <c r="N29" s="44"/>
    </row>
    <row r="30" spans="1:14" ht="27.75" x14ac:dyDescent="0.2">
      <c r="A30" s="41">
        <f t="shared" si="1"/>
        <v>23</v>
      </c>
      <c r="B30" s="11" t="s">
        <v>37</v>
      </c>
      <c r="C30" s="11" t="s">
        <v>336</v>
      </c>
      <c r="D30" s="11" t="s">
        <v>73</v>
      </c>
      <c r="E30" s="11"/>
      <c r="F30" s="64" t="s">
        <v>63</v>
      </c>
      <c r="G30" s="19">
        <f>'ВОР 150200 КЖ5'!D85+'ВОР 150200 КЖ5'!D104</f>
        <v>8.1360000000000002E-2</v>
      </c>
      <c r="H30" s="23"/>
      <c r="I30" s="42"/>
      <c r="J30" s="42"/>
      <c r="K30" s="43"/>
      <c r="L30" s="43"/>
      <c r="M30" s="43"/>
      <c r="N30" s="44"/>
    </row>
    <row r="31" spans="1:14" ht="27.75" x14ac:dyDescent="0.2">
      <c r="A31" s="41">
        <f t="shared" si="1"/>
        <v>24</v>
      </c>
      <c r="B31" s="11" t="s">
        <v>37</v>
      </c>
      <c r="C31" s="11" t="s">
        <v>337</v>
      </c>
      <c r="D31" s="11" t="s">
        <v>81</v>
      </c>
      <c r="E31" s="11"/>
      <c r="F31" s="64" t="s">
        <v>63</v>
      </c>
      <c r="G31" s="19">
        <f>'ВОР 150200 КЖ5'!D115</f>
        <v>5.9560000000000002E-2</v>
      </c>
      <c r="H31" s="23"/>
      <c r="I31" s="42"/>
      <c r="J31" s="42"/>
      <c r="K31" s="43"/>
      <c r="L31" s="43"/>
      <c r="M31" s="43"/>
      <c r="N31" s="44"/>
    </row>
    <row r="32" spans="1:14" ht="27.75" x14ac:dyDescent="0.2">
      <c r="A32" s="41">
        <f t="shared" si="1"/>
        <v>25</v>
      </c>
      <c r="B32" s="11" t="s">
        <v>37</v>
      </c>
      <c r="C32" s="11" t="s">
        <v>338</v>
      </c>
      <c r="D32" s="11" t="s">
        <v>81</v>
      </c>
      <c r="E32" s="11"/>
      <c r="F32" s="64" t="s">
        <v>63</v>
      </c>
      <c r="G32" s="19">
        <f>'ВОР 150200 КЖ5'!D118</f>
        <v>3.524E-2</v>
      </c>
      <c r="H32" s="23"/>
      <c r="I32" s="42"/>
      <c r="J32" s="42"/>
      <c r="K32" s="43"/>
      <c r="L32" s="43"/>
      <c r="M32" s="43"/>
      <c r="N32" s="44"/>
    </row>
    <row r="33" spans="1:14" ht="27.75" x14ac:dyDescent="0.2">
      <c r="A33" s="41">
        <f t="shared" si="1"/>
        <v>26</v>
      </c>
      <c r="B33" s="11" t="s">
        <v>37</v>
      </c>
      <c r="C33" s="11" t="s">
        <v>339</v>
      </c>
      <c r="D33" s="11" t="s">
        <v>81</v>
      </c>
      <c r="E33" s="11"/>
      <c r="F33" s="64" t="s">
        <v>63</v>
      </c>
      <c r="G33" s="19">
        <f>'ВОР 150200 КЖ5'!D121</f>
        <v>3.2680000000000001E-2</v>
      </c>
      <c r="H33" s="23"/>
      <c r="I33" s="42"/>
      <c r="J33" s="42"/>
      <c r="K33" s="43"/>
      <c r="L33" s="43"/>
      <c r="M33" s="43"/>
      <c r="N33" s="44"/>
    </row>
    <row r="34" spans="1:14" ht="27.75" x14ac:dyDescent="0.2">
      <c r="A34" s="41">
        <f t="shared" si="1"/>
        <v>27</v>
      </c>
      <c r="B34" s="11" t="s">
        <v>37</v>
      </c>
      <c r="C34" s="14" t="s">
        <v>83</v>
      </c>
      <c r="D34" s="11" t="s">
        <v>178</v>
      </c>
      <c r="E34" s="11"/>
      <c r="F34" s="64" t="s">
        <v>62</v>
      </c>
      <c r="G34" s="19">
        <f>'ВОР 150200 КЖ5'!D125</f>
        <v>0.03</v>
      </c>
      <c r="H34" s="23"/>
      <c r="I34" s="42"/>
      <c r="J34" s="42"/>
      <c r="K34" s="43"/>
      <c r="L34" s="43"/>
      <c r="M34" s="43"/>
      <c r="N34" s="44"/>
    </row>
    <row r="35" spans="1:14" x14ac:dyDescent="0.2">
      <c r="A35" s="41">
        <f t="shared" si="1"/>
        <v>28</v>
      </c>
      <c r="B35" s="11" t="s">
        <v>37</v>
      </c>
      <c r="C35" s="65" t="s">
        <v>356</v>
      </c>
      <c r="D35" s="131" t="s">
        <v>179</v>
      </c>
      <c r="E35" s="11"/>
      <c r="F35" s="64" t="s">
        <v>62</v>
      </c>
      <c r="G35" s="88">
        <v>0.01</v>
      </c>
      <c r="H35" s="23"/>
      <c r="I35" s="42"/>
      <c r="J35" s="42"/>
      <c r="K35" s="43"/>
      <c r="L35" s="43"/>
      <c r="M35" s="43"/>
      <c r="N35" s="44"/>
    </row>
    <row r="36" spans="1:14" ht="27.75" x14ac:dyDescent="0.2">
      <c r="A36" s="41">
        <f t="shared" si="1"/>
        <v>29</v>
      </c>
      <c r="B36" s="11" t="s">
        <v>37</v>
      </c>
      <c r="C36" s="14" t="s">
        <v>84</v>
      </c>
      <c r="D36" s="132"/>
      <c r="E36" s="11"/>
      <c r="F36" s="15" t="s">
        <v>62</v>
      </c>
      <c r="G36" s="19">
        <f>'ВОР 150200 КЖ5'!D128</f>
        <v>0.43</v>
      </c>
      <c r="H36" s="23"/>
      <c r="I36" s="42"/>
      <c r="J36" s="42"/>
      <c r="K36" s="43"/>
      <c r="L36" s="43"/>
      <c r="M36" s="43"/>
      <c r="N36" s="44"/>
    </row>
    <row r="37" spans="1:14" ht="54.75" x14ac:dyDescent="0.2">
      <c r="A37" s="41">
        <f>A36+1</f>
        <v>30</v>
      </c>
      <c r="B37" s="11" t="s">
        <v>37</v>
      </c>
      <c r="C37" s="14" t="s">
        <v>86</v>
      </c>
      <c r="D37" s="133"/>
      <c r="E37" s="11"/>
      <c r="F37" s="15" t="s">
        <v>87</v>
      </c>
      <c r="G37" s="19">
        <f>'ВОР 150200 КЖ5'!D130</f>
        <v>18</v>
      </c>
      <c r="H37" s="23"/>
      <c r="I37" s="42"/>
      <c r="J37" s="42"/>
      <c r="K37" s="43"/>
      <c r="L37" s="43"/>
      <c r="M37" s="43"/>
      <c r="N37" s="44"/>
    </row>
    <row r="38" spans="1:14" x14ac:dyDescent="0.2">
      <c r="A38" s="41">
        <f>A37+1</f>
        <v>31</v>
      </c>
      <c r="B38" s="11" t="s">
        <v>37</v>
      </c>
      <c r="C38" s="14" t="s">
        <v>434</v>
      </c>
      <c r="D38" s="89" t="s">
        <v>433</v>
      </c>
      <c r="E38" s="11"/>
      <c r="F38" s="15" t="s">
        <v>325</v>
      </c>
      <c r="G38" s="19">
        <f>'ВОР 150200 КЖ5'!D300</f>
        <v>121.15</v>
      </c>
      <c r="H38" s="23"/>
      <c r="I38" s="42"/>
      <c r="J38" s="98"/>
      <c r="K38" s="99"/>
      <c r="L38" s="99"/>
      <c r="M38" s="99"/>
      <c r="N38" s="100"/>
    </row>
    <row r="39" spans="1:14" x14ac:dyDescent="0.2">
      <c r="A39" s="41">
        <f>A38+1</f>
        <v>32</v>
      </c>
      <c r="B39" s="11" t="s">
        <v>37</v>
      </c>
      <c r="C39" s="14" t="s">
        <v>435</v>
      </c>
      <c r="D39" s="11" t="s">
        <v>433</v>
      </c>
      <c r="E39" s="11"/>
      <c r="F39" s="15" t="s">
        <v>325</v>
      </c>
      <c r="G39" s="19">
        <f>'ВОР 150200 КЖ5'!D302</f>
        <v>1211.5</v>
      </c>
      <c r="H39" s="23"/>
      <c r="I39" s="42"/>
      <c r="J39" s="98"/>
      <c r="K39" s="99"/>
      <c r="L39" s="99"/>
      <c r="M39" s="99"/>
      <c r="N39" s="100"/>
    </row>
    <row r="40" spans="1:14" ht="81" x14ac:dyDescent="0.2">
      <c r="A40" s="41">
        <f>A39+1</f>
        <v>33</v>
      </c>
      <c r="B40" s="11" t="s">
        <v>37</v>
      </c>
      <c r="C40" s="14" t="s">
        <v>326</v>
      </c>
      <c r="D40" s="11"/>
      <c r="E40" s="11"/>
      <c r="F40" s="15" t="s">
        <v>94</v>
      </c>
      <c r="G40" s="19">
        <f>'ВОР 150200 КЖ5'!D183+'ВОР 150200 КЖ5'!D196</f>
        <v>26</v>
      </c>
      <c r="H40" s="23"/>
      <c r="I40" s="42"/>
      <c r="J40" s="98"/>
      <c r="K40" s="99"/>
      <c r="L40" s="99"/>
      <c r="M40" s="99"/>
      <c r="N40" s="100"/>
    </row>
    <row r="41" spans="1:14" ht="15.75" thickBot="1" x14ac:dyDescent="0.25">
      <c r="A41" s="134" t="s">
        <v>51</v>
      </c>
      <c r="B41" s="135"/>
      <c r="C41" s="135"/>
      <c r="D41" s="135"/>
      <c r="E41" s="135"/>
      <c r="F41" s="135"/>
      <c r="G41" s="136"/>
      <c r="H41" s="46"/>
      <c r="I41" s="45"/>
      <c r="J41" s="45"/>
      <c r="K41" s="47"/>
      <c r="L41" s="47"/>
      <c r="M41" s="47"/>
      <c r="N41" s="48"/>
    </row>
    <row r="44" spans="1:14" x14ac:dyDescent="0.2">
      <c r="A44" s="70" t="s">
        <v>6</v>
      </c>
      <c r="B44" s="70"/>
      <c r="C44" s="70"/>
      <c r="D44" s="70" t="s">
        <v>7</v>
      </c>
      <c r="E44" s="70"/>
      <c r="F44" s="70"/>
      <c r="H44" s="86"/>
      <c r="I44" t="s">
        <v>8</v>
      </c>
    </row>
    <row r="45" spans="1:14" x14ac:dyDescent="0.2">
      <c r="A45" s="70"/>
      <c r="B45" s="70"/>
      <c r="C45" s="70"/>
      <c r="D45" s="70"/>
      <c r="E45" s="70"/>
      <c r="F45" s="70"/>
    </row>
    <row r="46" spans="1:14" x14ac:dyDescent="0.2">
      <c r="A46" s="70"/>
      <c r="B46" s="70"/>
      <c r="C46" s="70"/>
      <c r="D46" s="70"/>
      <c r="E46" s="70"/>
      <c r="F46" s="70"/>
    </row>
    <row r="47" spans="1:14" x14ac:dyDescent="0.2">
      <c r="A47" s="70" t="s">
        <v>49</v>
      </c>
      <c r="B47" s="71"/>
      <c r="C47" s="70"/>
      <c r="D47" s="71" t="s">
        <v>50</v>
      </c>
      <c r="E47" s="70"/>
      <c r="F47" s="70"/>
    </row>
    <row r="53" spans="7:7" x14ac:dyDescent="0.2">
      <c r="G53" s="19"/>
    </row>
  </sheetData>
  <mergeCells count="6">
    <mergeCell ref="K1:N1"/>
    <mergeCell ref="A2:N2"/>
    <mergeCell ref="A3:N3"/>
    <mergeCell ref="D35:D37"/>
    <mergeCell ref="A41:G41"/>
    <mergeCell ref="C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ВОР 150200 КЖ5</vt:lpstr>
      <vt:lpstr>ПСЦМ 150200 КЖ5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2025-06-17T10:32:18Z</dcterms:modified>
</cp:coreProperties>
</file>